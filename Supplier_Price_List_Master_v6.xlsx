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sperTavitian\Downloads\"/>
    </mc:Choice>
  </mc:AlternateContent>
  <xr:revisionPtr revIDLastSave="0" documentId="13_ncr:1_{8FAB5CC8-D493-4263-A135-D702BEB86C73}" xr6:coauthVersionLast="47" xr6:coauthVersionMax="47" xr10:uidLastSave="{00000000-0000-0000-0000-000000000000}"/>
  <bookViews>
    <workbookView xWindow="21720" yWindow="-16320" windowWidth="29040" windowHeight="15720" tabRatio="500" xr2:uid="{00000000-000D-0000-FFFF-FFFF00000000}"/>
  </bookViews>
  <sheets>
    <sheet name="Estimation" sheetId="1" r:id="rId1"/>
    <sheet name="Catalog" sheetId="2" r:id="rId2"/>
    <sheet name="Pertronic" sheetId="3" r:id="rId3"/>
    <sheet name="Fusion Fire" sheetId="4" r:id="rId4"/>
    <sheet name="FlameStop" sheetId="5" r:id="rId5"/>
    <sheet name="Ampac" sheetId="6" r:id="rId6"/>
    <sheet name="Want Access — EWP" sheetId="7" r:id="rId7"/>
    <sheet name="FireSense" sheetId="8" r:id="rId8"/>
    <sheet name="ESA — EWP" sheetId="9" r:id="rId9"/>
  </sheets>
  <definedNames>
    <definedName name="CatalogCode">Catalog!$B$4:$B$1296</definedName>
    <definedName name="CatalogCost">Catalog!$D$4:$D$1296</definedName>
    <definedName name="CatalogDesc">Catalog!$C$4:$C$1296</definedName>
    <definedName name="CatalogDisplay">Catalog!$E$4:$E$1296</definedName>
    <definedName name="CatalogSearchKey">Catalog!$F$4:$F$1296</definedName>
    <definedName name="CatalogSupp">Catalog!$A$4:$A$1296</definedName>
    <definedName name="ProductList">Catalog!$E$4:$E$1296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9" l="1"/>
  <c r="E16" i="9"/>
  <c r="G16" i="9" s="1"/>
  <c r="H16" i="9" s="1"/>
  <c r="G15" i="9"/>
  <c r="F15" i="9"/>
  <c r="E15" i="9"/>
  <c r="G14" i="9"/>
  <c r="H14" i="9" s="1"/>
  <c r="F14" i="9"/>
  <c r="E14" i="9"/>
  <c r="F13" i="9"/>
  <c r="E13" i="9"/>
  <c r="G12" i="9"/>
  <c r="H12" i="9" s="1"/>
  <c r="F12" i="9"/>
  <c r="E12" i="9"/>
  <c r="F11" i="9"/>
  <c r="G11" i="9" s="1"/>
  <c r="E11" i="9"/>
  <c r="G10" i="9"/>
  <c r="F10" i="9"/>
  <c r="H10" i="9" s="1"/>
  <c r="E10" i="9"/>
  <c r="G9" i="9"/>
  <c r="H9" i="9" s="1"/>
  <c r="F9" i="9"/>
  <c r="E9" i="9"/>
  <c r="H8" i="9"/>
  <c r="G8" i="9"/>
  <c r="F8" i="9"/>
  <c r="E8" i="9"/>
  <c r="F7" i="9"/>
  <c r="E7" i="9"/>
  <c r="F6" i="9"/>
  <c r="G6" i="9" s="1"/>
  <c r="H6" i="9" s="1"/>
  <c r="E6" i="9"/>
  <c r="G5" i="9"/>
  <c r="H5" i="9" s="1"/>
  <c r="F5" i="9"/>
  <c r="E5" i="9"/>
  <c r="G1296" i="2"/>
  <c r="H1296" i="2" s="1"/>
  <c r="G1295" i="2"/>
  <c r="H1295" i="2" s="1"/>
  <c r="G1294" i="2"/>
  <c r="H1294" i="2" s="1"/>
  <c r="G1293" i="2"/>
  <c r="H1293" i="2" s="1"/>
  <c r="G1292" i="2"/>
  <c r="H1292" i="2" s="1"/>
  <c r="G1291" i="2"/>
  <c r="H1291" i="2" s="1"/>
  <c r="G1290" i="2"/>
  <c r="H1290" i="2" s="1"/>
  <c r="G1289" i="2"/>
  <c r="H1289" i="2" s="1"/>
  <c r="G1288" i="2"/>
  <c r="H1288" i="2" s="1"/>
  <c r="G1287" i="2"/>
  <c r="H1287" i="2" s="1"/>
  <c r="G1286" i="2"/>
  <c r="H1286" i="2" s="1"/>
  <c r="G1285" i="2"/>
  <c r="H1285" i="2" s="1"/>
  <c r="G1284" i="2"/>
  <c r="H1284" i="2" s="1"/>
  <c r="G1283" i="2"/>
  <c r="H1283" i="2" s="1"/>
  <c r="G1282" i="2"/>
  <c r="H1282" i="2" s="1"/>
  <c r="H1281" i="2"/>
  <c r="G1281" i="2"/>
  <c r="G1280" i="2"/>
  <c r="H1280" i="2" s="1"/>
  <c r="G1279" i="2"/>
  <c r="H1279" i="2" s="1"/>
  <c r="G1278" i="2"/>
  <c r="H1278" i="2" s="1"/>
  <c r="G1277" i="2"/>
  <c r="H1277" i="2" s="1"/>
  <c r="G1276" i="2"/>
  <c r="H1276" i="2" s="1"/>
  <c r="G1275" i="2"/>
  <c r="H1275" i="2" s="1"/>
  <c r="G1274" i="2"/>
  <c r="H1274" i="2" s="1"/>
  <c r="G1273" i="2"/>
  <c r="H1273" i="2" s="1"/>
  <c r="G1272" i="2"/>
  <c r="H1272" i="2" s="1"/>
  <c r="G1271" i="2"/>
  <c r="H1271" i="2" s="1"/>
  <c r="G1270" i="2"/>
  <c r="H1270" i="2" s="1"/>
  <c r="G1269" i="2"/>
  <c r="H1269" i="2" s="1"/>
  <c r="G1268" i="2"/>
  <c r="H1268" i="2" s="1"/>
  <c r="G1267" i="2"/>
  <c r="H1267" i="2" s="1"/>
  <c r="G1266" i="2"/>
  <c r="H1266" i="2" s="1"/>
  <c r="G1265" i="2"/>
  <c r="H1265" i="2" s="1"/>
  <c r="G1264" i="2"/>
  <c r="H1264" i="2" s="1"/>
  <c r="G1263" i="2"/>
  <c r="H1263" i="2" s="1"/>
  <c r="G1262" i="2"/>
  <c r="H1262" i="2" s="1"/>
  <c r="G1261" i="2"/>
  <c r="H1261" i="2" s="1"/>
  <c r="G1260" i="2"/>
  <c r="H1260" i="2" s="1"/>
  <c r="G1259" i="2"/>
  <c r="H1259" i="2" s="1"/>
  <c r="G1258" i="2"/>
  <c r="H1258" i="2" s="1"/>
  <c r="G1257" i="2"/>
  <c r="H1257" i="2" s="1"/>
  <c r="G1256" i="2"/>
  <c r="H1256" i="2" s="1"/>
  <c r="G1255" i="2"/>
  <c r="H1255" i="2" s="1"/>
  <c r="G1254" i="2"/>
  <c r="H1254" i="2" s="1"/>
  <c r="G1253" i="2"/>
  <c r="H1253" i="2" s="1"/>
  <c r="G1252" i="2"/>
  <c r="H1252" i="2" s="1"/>
  <c r="G1251" i="2"/>
  <c r="H1251" i="2" s="1"/>
  <c r="G1250" i="2"/>
  <c r="H1250" i="2" s="1"/>
  <c r="G1249" i="2"/>
  <c r="H1249" i="2" s="1"/>
  <c r="G1248" i="2"/>
  <c r="H1248" i="2" s="1"/>
  <c r="G1247" i="2"/>
  <c r="H1247" i="2" s="1"/>
  <c r="G1246" i="2"/>
  <c r="H1246" i="2" s="1"/>
  <c r="G1245" i="2"/>
  <c r="H1245" i="2" s="1"/>
  <c r="G1244" i="2"/>
  <c r="H1244" i="2" s="1"/>
  <c r="G1243" i="2"/>
  <c r="H1243" i="2" s="1"/>
  <c r="G1242" i="2"/>
  <c r="H1242" i="2" s="1"/>
  <c r="G1241" i="2"/>
  <c r="H1241" i="2" s="1"/>
  <c r="G1240" i="2"/>
  <c r="H1240" i="2" s="1"/>
  <c r="G1239" i="2"/>
  <c r="H1239" i="2" s="1"/>
  <c r="G1238" i="2"/>
  <c r="H1238" i="2" s="1"/>
  <c r="G1237" i="2"/>
  <c r="H1237" i="2" s="1"/>
  <c r="G1236" i="2"/>
  <c r="H1236" i="2" s="1"/>
  <c r="G1235" i="2"/>
  <c r="H1235" i="2" s="1"/>
  <c r="G1234" i="2"/>
  <c r="H1234" i="2" s="1"/>
  <c r="G1233" i="2"/>
  <c r="H1233" i="2" s="1"/>
  <c r="G1232" i="2"/>
  <c r="H1232" i="2" s="1"/>
  <c r="G1231" i="2"/>
  <c r="H1231" i="2" s="1"/>
  <c r="G1230" i="2"/>
  <c r="H1230" i="2" s="1"/>
  <c r="G1229" i="2"/>
  <c r="H1229" i="2" s="1"/>
  <c r="G1228" i="2"/>
  <c r="H1228" i="2" s="1"/>
  <c r="G1227" i="2"/>
  <c r="H1227" i="2" s="1"/>
  <c r="G1226" i="2"/>
  <c r="H1226" i="2" s="1"/>
  <c r="G1225" i="2"/>
  <c r="H1225" i="2" s="1"/>
  <c r="G1224" i="2"/>
  <c r="H1224" i="2" s="1"/>
  <c r="G1223" i="2"/>
  <c r="H1223" i="2" s="1"/>
  <c r="G1222" i="2"/>
  <c r="H1222" i="2" s="1"/>
  <c r="G1221" i="2"/>
  <c r="H1221" i="2" s="1"/>
  <c r="G1220" i="2"/>
  <c r="H1220" i="2" s="1"/>
  <c r="G1219" i="2"/>
  <c r="H1219" i="2" s="1"/>
  <c r="G1218" i="2"/>
  <c r="H1218" i="2" s="1"/>
  <c r="G1217" i="2"/>
  <c r="H1217" i="2" s="1"/>
  <c r="G1216" i="2"/>
  <c r="H1216" i="2" s="1"/>
  <c r="G1215" i="2"/>
  <c r="H1215" i="2" s="1"/>
  <c r="G1214" i="2"/>
  <c r="H1214" i="2" s="1"/>
  <c r="G1213" i="2"/>
  <c r="H1213" i="2" s="1"/>
  <c r="G1212" i="2"/>
  <c r="H1212" i="2" s="1"/>
  <c r="G1211" i="2"/>
  <c r="H1211" i="2" s="1"/>
  <c r="G1210" i="2"/>
  <c r="H1210" i="2" s="1"/>
  <c r="G1209" i="2"/>
  <c r="H1209" i="2" s="1"/>
  <c r="G1208" i="2"/>
  <c r="H1208" i="2" s="1"/>
  <c r="G1207" i="2"/>
  <c r="H1207" i="2" s="1"/>
  <c r="G1206" i="2"/>
  <c r="H1206" i="2" s="1"/>
  <c r="G1205" i="2"/>
  <c r="H1205" i="2" s="1"/>
  <c r="G1204" i="2"/>
  <c r="H1204" i="2" s="1"/>
  <c r="G1203" i="2"/>
  <c r="H1203" i="2" s="1"/>
  <c r="G1202" i="2"/>
  <c r="H1202" i="2" s="1"/>
  <c r="G1201" i="2"/>
  <c r="H1201" i="2" s="1"/>
  <c r="G1200" i="2"/>
  <c r="H1200" i="2" s="1"/>
  <c r="G1199" i="2"/>
  <c r="H1199" i="2" s="1"/>
  <c r="G1198" i="2"/>
  <c r="H1198" i="2" s="1"/>
  <c r="G1197" i="2"/>
  <c r="H1197" i="2" s="1"/>
  <c r="G1196" i="2"/>
  <c r="H1196" i="2" s="1"/>
  <c r="G1195" i="2"/>
  <c r="H1195" i="2" s="1"/>
  <c r="G1194" i="2"/>
  <c r="H1194" i="2" s="1"/>
  <c r="G1193" i="2"/>
  <c r="H1193" i="2" s="1"/>
  <c r="G1192" i="2"/>
  <c r="H1192" i="2" s="1"/>
  <c r="G1191" i="2"/>
  <c r="H1191" i="2" s="1"/>
  <c r="G1190" i="2"/>
  <c r="H1190" i="2" s="1"/>
  <c r="G1189" i="2"/>
  <c r="H1189" i="2" s="1"/>
  <c r="G1188" i="2"/>
  <c r="H1188" i="2" s="1"/>
  <c r="G1187" i="2"/>
  <c r="H1187" i="2" s="1"/>
  <c r="G1186" i="2"/>
  <c r="H1186" i="2" s="1"/>
  <c r="G1185" i="2"/>
  <c r="H1185" i="2" s="1"/>
  <c r="G1184" i="2"/>
  <c r="H1184" i="2" s="1"/>
  <c r="G1183" i="2"/>
  <c r="H1183" i="2" s="1"/>
  <c r="G1182" i="2"/>
  <c r="H1182" i="2" s="1"/>
  <c r="G1181" i="2"/>
  <c r="H1181" i="2" s="1"/>
  <c r="G1180" i="2"/>
  <c r="H1180" i="2" s="1"/>
  <c r="G1179" i="2"/>
  <c r="H1179" i="2" s="1"/>
  <c r="G1178" i="2"/>
  <c r="H1178" i="2" s="1"/>
  <c r="G1177" i="2"/>
  <c r="H1177" i="2" s="1"/>
  <c r="G1176" i="2"/>
  <c r="H1176" i="2" s="1"/>
  <c r="G1175" i="2"/>
  <c r="H1175" i="2" s="1"/>
  <c r="G1174" i="2"/>
  <c r="H1174" i="2" s="1"/>
  <c r="G1173" i="2"/>
  <c r="H1173" i="2" s="1"/>
  <c r="G1172" i="2"/>
  <c r="H1172" i="2" s="1"/>
  <c r="G1171" i="2"/>
  <c r="H1171" i="2" s="1"/>
  <c r="G1170" i="2"/>
  <c r="H1170" i="2" s="1"/>
  <c r="G1169" i="2"/>
  <c r="H1169" i="2" s="1"/>
  <c r="G1168" i="2"/>
  <c r="H1168" i="2" s="1"/>
  <c r="G1167" i="2"/>
  <c r="H1167" i="2" s="1"/>
  <c r="G1166" i="2"/>
  <c r="H1166" i="2" s="1"/>
  <c r="G1165" i="2"/>
  <c r="H1165" i="2" s="1"/>
  <c r="G1164" i="2"/>
  <c r="H1164" i="2" s="1"/>
  <c r="G1163" i="2"/>
  <c r="H1163" i="2" s="1"/>
  <c r="G1162" i="2"/>
  <c r="H1162" i="2" s="1"/>
  <c r="G1161" i="2"/>
  <c r="H1161" i="2" s="1"/>
  <c r="G1160" i="2"/>
  <c r="H1160" i="2" s="1"/>
  <c r="G1159" i="2"/>
  <c r="H1159" i="2" s="1"/>
  <c r="G1158" i="2"/>
  <c r="H1158" i="2" s="1"/>
  <c r="G1157" i="2"/>
  <c r="H1157" i="2" s="1"/>
  <c r="G1156" i="2"/>
  <c r="H1156" i="2" s="1"/>
  <c r="G1155" i="2"/>
  <c r="H1155" i="2" s="1"/>
  <c r="G1154" i="2"/>
  <c r="H1154" i="2" s="1"/>
  <c r="G1153" i="2"/>
  <c r="H1153" i="2" s="1"/>
  <c r="G1152" i="2"/>
  <c r="H1152" i="2" s="1"/>
  <c r="G1151" i="2"/>
  <c r="H1151" i="2" s="1"/>
  <c r="G1150" i="2"/>
  <c r="H1150" i="2" s="1"/>
  <c r="G1149" i="2"/>
  <c r="H1149" i="2" s="1"/>
  <c r="G1148" i="2"/>
  <c r="H1148" i="2" s="1"/>
  <c r="G1147" i="2"/>
  <c r="H1147" i="2" s="1"/>
  <c r="G1146" i="2"/>
  <c r="H1146" i="2" s="1"/>
  <c r="G1145" i="2"/>
  <c r="H1145" i="2" s="1"/>
  <c r="G1144" i="2"/>
  <c r="H1144" i="2" s="1"/>
  <c r="G1143" i="2"/>
  <c r="H1143" i="2" s="1"/>
  <c r="G1142" i="2"/>
  <c r="H1142" i="2" s="1"/>
  <c r="G1141" i="2"/>
  <c r="H1141" i="2" s="1"/>
  <c r="G1140" i="2"/>
  <c r="H1140" i="2" s="1"/>
  <c r="G1139" i="2"/>
  <c r="H1139" i="2" s="1"/>
  <c r="G1138" i="2"/>
  <c r="H1138" i="2" s="1"/>
  <c r="G1137" i="2"/>
  <c r="H1137" i="2" s="1"/>
  <c r="G1136" i="2"/>
  <c r="H1136" i="2" s="1"/>
  <c r="G1135" i="2"/>
  <c r="H1135" i="2" s="1"/>
  <c r="G1134" i="2"/>
  <c r="H1134" i="2" s="1"/>
  <c r="G1133" i="2"/>
  <c r="H1133" i="2" s="1"/>
  <c r="G1132" i="2"/>
  <c r="H1132" i="2" s="1"/>
  <c r="G1131" i="2"/>
  <c r="H1131" i="2" s="1"/>
  <c r="G1130" i="2"/>
  <c r="H1130" i="2" s="1"/>
  <c r="G1129" i="2"/>
  <c r="H1129" i="2" s="1"/>
  <c r="G1128" i="2"/>
  <c r="H1128" i="2" s="1"/>
  <c r="G1127" i="2"/>
  <c r="H1127" i="2" s="1"/>
  <c r="G1126" i="2"/>
  <c r="H1126" i="2" s="1"/>
  <c r="G1125" i="2"/>
  <c r="H1125" i="2" s="1"/>
  <c r="G1124" i="2"/>
  <c r="H1124" i="2" s="1"/>
  <c r="G1123" i="2"/>
  <c r="H1123" i="2" s="1"/>
  <c r="G1122" i="2"/>
  <c r="H1122" i="2" s="1"/>
  <c r="G1121" i="2"/>
  <c r="H1121" i="2" s="1"/>
  <c r="G1120" i="2"/>
  <c r="H1120" i="2" s="1"/>
  <c r="G1119" i="2"/>
  <c r="H1119" i="2" s="1"/>
  <c r="G1118" i="2"/>
  <c r="H1118" i="2" s="1"/>
  <c r="G1117" i="2"/>
  <c r="H1117" i="2" s="1"/>
  <c r="G1116" i="2"/>
  <c r="H1116" i="2" s="1"/>
  <c r="G1115" i="2"/>
  <c r="H1115" i="2" s="1"/>
  <c r="G1114" i="2"/>
  <c r="H1114" i="2" s="1"/>
  <c r="G1113" i="2"/>
  <c r="H1113" i="2" s="1"/>
  <c r="G1112" i="2"/>
  <c r="H1112" i="2" s="1"/>
  <c r="G1111" i="2"/>
  <c r="H1111" i="2" s="1"/>
  <c r="G1110" i="2"/>
  <c r="H1110" i="2" s="1"/>
  <c r="G1109" i="2"/>
  <c r="H1109" i="2" s="1"/>
  <c r="G1108" i="2"/>
  <c r="H1108" i="2" s="1"/>
  <c r="G1107" i="2"/>
  <c r="H1107" i="2" s="1"/>
  <c r="G1106" i="2"/>
  <c r="H1106" i="2" s="1"/>
  <c r="G1105" i="2"/>
  <c r="G1104" i="2"/>
  <c r="H1104" i="2" s="1"/>
  <c r="G1103" i="2"/>
  <c r="H1103" i="2" s="1"/>
  <c r="G1102" i="2"/>
  <c r="H1102" i="2" s="1"/>
  <c r="G1101" i="2"/>
  <c r="H1101" i="2" s="1"/>
  <c r="G1100" i="2"/>
  <c r="H1100" i="2" s="1"/>
  <c r="G1099" i="2"/>
  <c r="H1099" i="2" s="1"/>
  <c r="G1098" i="2"/>
  <c r="H1098" i="2" s="1"/>
  <c r="G1097" i="2"/>
  <c r="H1097" i="2" s="1"/>
  <c r="G1096" i="2"/>
  <c r="H1096" i="2" s="1"/>
  <c r="G1095" i="2"/>
  <c r="H1095" i="2" s="1"/>
  <c r="G1094" i="2"/>
  <c r="H1094" i="2" s="1"/>
  <c r="G1093" i="2"/>
  <c r="H1093" i="2" s="1"/>
  <c r="G1092" i="2"/>
  <c r="H1092" i="2" s="1"/>
  <c r="G1091" i="2"/>
  <c r="H1091" i="2" s="1"/>
  <c r="G1090" i="2"/>
  <c r="H1090" i="2" s="1"/>
  <c r="G1089" i="2"/>
  <c r="H1089" i="2" s="1"/>
  <c r="G1088" i="2"/>
  <c r="H1088" i="2" s="1"/>
  <c r="G1087" i="2"/>
  <c r="H1087" i="2" s="1"/>
  <c r="G1086" i="2"/>
  <c r="H1086" i="2" s="1"/>
  <c r="G1085" i="2"/>
  <c r="H1085" i="2" s="1"/>
  <c r="G1084" i="2"/>
  <c r="H1084" i="2" s="1"/>
  <c r="G1083" i="2"/>
  <c r="H1083" i="2" s="1"/>
  <c r="G1082" i="2"/>
  <c r="H1082" i="2" s="1"/>
  <c r="G1081" i="2"/>
  <c r="H1081" i="2" s="1"/>
  <c r="G1080" i="2"/>
  <c r="H1080" i="2" s="1"/>
  <c r="G1079" i="2"/>
  <c r="H1079" i="2" s="1"/>
  <c r="G1078" i="2"/>
  <c r="H1078" i="2" s="1"/>
  <c r="G1077" i="2"/>
  <c r="H1077" i="2" s="1"/>
  <c r="G1076" i="2"/>
  <c r="H1076" i="2" s="1"/>
  <c r="G1075" i="2"/>
  <c r="H1075" i="2" s="1"/>
  <c r="G1074" i="2"/>
  <c r="H1074" i="2" s="1"/>
  <c r="G1073" i="2"/>
  <c r="H1073" i="2" s="1"/>
  <c r="G1072" i="2"/>
  <c r="H1072" i="2" s="1"/>
  <c r="G1071" i="2"/>
  <c r="H1071" i="2" s="1"/>
  <c r="G1070" i="2"/>
  <c r="H1070" i="2" s="1"/>
  <c r="G1069" i="2"/>
  <c r="H1069" i="2" s="1"/>
  <c r="G1068" i="2"/>
  <c r="H1068" i="2" s="1"/>
  <c r="G1067" i="2"/>
  <c r="H1067" i="2" s="1"/>
  <c r="G1066" i="2"/>
  <c r="H1066" i="2" s="1"/>
  <c r="G1065" i="2"/>
  <c r="H1065" i="2" s="1"/>
  <c r="G1064" i="2"/>
  <c r="H1064" i="2" s="1"/>
  <c r="G1063" i="2"/>
  <c r="H1063" i="2" s="1"/>
  <c r="G1062" i="2"/>
  <c r="H1062" i="2" s="1"/>
  <c r="G1061" i="2"/>
  <c r="H1061" i="2" s="1"/>
  <c r="G1060" i="2"/>
  <c r="H1060" i="2" s="1"/>
  <c r="G1059" i="2"/>
  <c r="H1059" i="2" s="1"/>
  <c r="G1058" i="2"/>
  <c r="H1058" i="2" s="1"/>
  <c r="G1057" i="2"/>
  <c r="H1057" i="2" s="1"/>
  <c r="G1056" i="2"/>
  <c r="H1056" i="2" s="1"/>
  <c r="G1055" i="2"/>
  <c r="H1055" i="2" s="1"/>
  <c r="G1054" i="2"/>
  <c r="H1054" i="2" s="1"/>
  <c r="G1053" i="2"/>
  <c r="H1053" i="2" s="1"/>
  <c r="G1052" i="2"/>
  <c r="H1052" i="2" s="1"/>
  <c r="G1051" i="2"/>
  <c r="H1051" i="2" s="1"/>
  <c r="G1050" i="2"/>
  <c r="H1050" i="2" s="1"/>
  <c r="G1049" i="2"/>
  <c r="H1049" i="2" s="1"/>
  <c r="G1048" i="2"/>
  <c r="H1048" i="2" s="1"/>
  <c r="G1047" i="2"/>
  <c r="H1047" i="2" s="1"/>
  <c r="G1046" i="2"/>
  <c r="H1046" i="2" s="1"/>
  <c r="G1045" i="2"/>
  <c r="H1045" i="2" s="1"/>
  <c r="G1044" i="2"/>
  <c r="H1044" i="2" s="1"/>
  <c r="G1043" i="2"/>
  <c r="H1043" i="2" s="1"/>
  <c r="G1042" i="2"/>
  <c r="H1042" i="2" s="1"/>
  <c r="G1041" i="2"/>
  <c r="H1041" i="2" s="1"/>
  <c r="G1040" i="2"/>
  <c r="H1040" i="2" s="1"/>
  <c r="G1039" i="2"/>
  <c r="H1039" i="2" s="1"/>
  <c r="G1038" i="2"/>
  <c r="H1038" i="2" s="1"/>
  <c r="G1037" i="2"/>
  <c r="H1037" i="2" s="1"/>
  <c r="G1036" i="2"/>
  <c r="H1036" i="2" s="1"/>
  <c r="G1035" i="2"/>
  <c r="H1035" i="2" s="1"/>
  <c r="G1034" i="2"/>
  <c r="H1034" i="2" s="1"/>
  <c r="G1033" i="2"/>
  <c r="H1033" i="2" s="1"/>
  <c r="G1032" i="2"/>
  <c r="H1032" i="2" s="1"/>
  <c r="G1031" i="2"/>
  <c r="H1031" i="2" s="1"/>
  <c r="G1030" i="2"/>
  <c r="H1030" i="2" s="1"/>
  <c r="G1029" i="2"/>
  <c r="H1029" i="2" s="1"/>
  <c r="G1028" i="2"/>
  <c r="H1028" i="2" s="1"/>
  <c r="G1027" i="2"/>
  <c r="H1027" i="2" s="1"/>
  <c r="G1026" i="2"/>
  <c r="H1026" i="2" s="1"/>
  <c r="G1025" i="2"/>
  <c r="H1025" i="2" s="1"/>
  <c r="G1024" i="2"/>
  <c r="H1024" i="2" s="1"/>
  <c r="G1023" i="2"/>
  <c r="H1023" i="2" s="1"/>
  <c r="G1022" i="2"/>
  <c r="H1022" i="2" s="1"/>
  <c r="G1021" i="2"/>
  <c r="H1021" i="2" s="1"/>
  <c r="G1020" i="2"/>
  <c r="H1020" i="2" s="1"/>
  <c r="G1019" i="2"/>
  <c r="H1019" i="2" s="1"/>
  <c r="G1018" i="2"/>
  <c r="H1018" i="2" s="1"/>
  <c r="G1017" i="2"/>
  <c r="H1017" i="2" s="1"/>
  <c r="G1016" i="2"/>
  <c r="H1016" i="2" s="1"/>
  <c r="G1015" i="2"/>
  <c r="H1015" i="2" s="1"/>
  <c r="G1014" i="2"/>
  <c r="H1014" i="2" s="1"/>
  <c r="G1013" i="2"/>
  <c r="H1013" i="2" s="1"/>
  <c r="G1012" i="2"/>
  <c r="H1012" i="2" s="1"/>
  <c r="G1011" i="2"/>
  <c r="H1011" i="2" s="1"/>
  <c r="G1010" i="2"/>
  <c r="H1010" i="2" s="1"/>
  <c r="G1009" i="2"/>
  <c r="H1009" i="2" s="1"/>
  <c r="G1008" i="2"/>
  <c r="H1008" i="2" s="1"/>
  <c r="G1007" i="2"/>
  <c r="H1007" i="2" s="1"/>
  <c r="G1006" i="2"/>
  <c r="H1006" i="2" s="1"/>
  <c r="G1005" i="2"/>
  <c r="H1005" i="2" s="1"/>
  <c r="G1004" i="2"/>
  <c r="H1004" i="2" s="1"/>
  <c r="G1003" i="2"/>
  <c r="H1003" i="2" s="1"/>
  <c r="G1002" i="2"/>
  <c r="H1002" i="2" s="1"/>
  <c r="G1001" i="2"/>
  <c r="H1001" i="2" s="1"/>
  <c r="G1000" i="2"/>
  <c r="H1000" i="2" s="1"/>
  <c r="G999" i="2"/>
  <c r="H999" i="2" s="1"/>
  <c r="G998" i="2"/>
  <c r="H998" i="2" s="1"/>
  <c r="G997" i="2"/>
  <c r="H997" i="2" s="1"/>
  <c r="G996" i="2"/>
  <c r="H996" i="2" s="1"/>
  <c r="G995" i="2"/>
  <c r="H995" i="2" s="1"/>
  <c r="G994" i="2"/>
  <c r="H994" i="2" s="1"/>
  <c r="G993" i="2"/>
  <c r="H993" i="2" s="1"/>
  <c r="G992" i="2"/>
  <c r="H992" i="2" s="1"/>
  <c r="G991" i="2"/>
  <c r="H991" i="2" s="1"/>
  <c r="G990" i="2"/>
  <c r="H990" i="2" s="1"/>
  <c r="G989" i="2"/>
  <c r="H989" i="2" s="1"/>
  <c r="G988" i="2"/>
  <c r="H988" i="2" s="1"/>
  <c r="G987" i="2"/>
  <c r="H987" i="2" s="1"/>
  <c r="G986" i="2"/>
  <c r="H986" i="2" s="1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G816" i="2"/>
  <c r="G815" i="2"/>
  <c r="G814" i="2"/>
  <c r="G813" i="2"/>
  <c r="H813" i="2" s="1"/>
  <c r="G812" i="2"/>
  <c r="H812" i="2" s="1"/>
  <c r="G811" i="2"/>
  <c r="G810" i="2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G138" i="2"/>
  <c r="H138" i="2" s="1"/>
  <c r="G137" i="2"/>
  <c r="G136" i="2"/>
  <c r="G135" i="2"/>
  <c r="H135" i="2" s="1"/>
  <c r="G134" i="2"/>
  <c r="H134" i="2" s="1"/>
  <c r="G133" i="2"/>
  <c r="G132" i="2"/>
  <c r="G131" i="2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D14" i="1"/>
  <c r="E14" i="1" s="1"/>
  <c r="G14" i="1" s="1"/>
  <c r="D13" i="1"/>
  <c r="E13" i="1" s="1"/>
  <c r="G13" i="1" s="1"/>
  <c r="D12" i="1"/>
  <c r="E12" i="1" s="1"/>
  <c r="D11" i="1"/>
  <c r="E11" i="1" s="1"/>
  <c r="H8" i="1"/>
  <c r="D7" i="1"/>
  <c r="E7" i="1" s="1"/>
  <c r="D6" i="1"/>
  <c r="E6" i="1" s="1"/>
  <c r="D5" i="1"/>
  <c r="E5" i="1" s="1"/>
  <c r="G6" i="1" l="1"/>
  <c r="H6" i="1"/>
  <c r="G10" i="1"/>
  <c r="H10" i="1"/>
  <c r="G7" i="1"/>
  <c r="H7" i="1"/>
  <c r="H817" i="2"/>
  <c r="H1105" i="2"/>
  <c r="H4" i="2"/>
  <c r="H847" i="2"/>
  <c r="H815" i="2"/>
  <c r="H811" i="2"/>
  <c r="H849" i="2"/>
  <c r="H839" i="2"/>
  <c r="H816" i="2"/>
  <c r="H131" i="2"/>
  <c r="H761" i="2"/>
  <c r="H840" i="2"/>
  <c r="H136" i="2"/>
  <c r="H841" i="2"/>
  <c r="H132" i="2"/>
  <c r="H848" i="2"/>
  <c r="H139" i="2"/>
  <c r="H137" i="2"/>
  <c r="H843" i="2"/>
  <c r="H810" i="2"/>
  <c r="H842" i="2"/>
  <c r="H814" i="2"/>
  <c r="H844" i="2"/>
  <c r="H845" i="2"/>
  <c r="H846" i="2"/>
  <c r="H133" i="2"/>
  <c r="H838" i="2"/>
  <c r="H11" i="1"/>
  <c r="G11" i="1"/>
  <c r="H14" i="1"/>
  <c r="H12" i="1"/>
  <c r="G12" i="1"/>
  <c r="H5" i="1"/>
  <c r="G5" i="1"/>
  <c r="H9" i="1"/>
  <c r="G9" i="1"/>
  <c r="G7" i="9"/>
  <c r="H7" i="9" s="1"/>
  <c r="H15" i="9"/>
  <c r="G8" i="1"/>
  <c r="H13" i="1"/>
  <c r="H11" i="9"/>
  <c r="G13" i="9"/>
  <c r="H13" i="9" s="1"/>
  <c r="B32" i="1" l="1"/>
  <c r="B28" i="1"/>
  <c r="C31" i="1"/>
  <c r="B31" i="1"/>
  <c r="B27" i="1"/>
  <c r="B23" i="1"/>
  <c r="H34" i="1"/>
  <c r="H30" i="1"/>
  <c r="H26" i="1"/>
  <c r="H22" i="1"/>
  <c r="H33" i="1"/>
  <c r="H29" i="1"/>
  <c r="H25" i="1"/>
  <c r="H21" i="1"/>
  <c r="H32" i="1"/>
  <c r="H24" i="1"/>
  <c r="H20" i="1"/>
  <c r="C33" i="1"/>
  <c r="C29" i="1"/>
  <c r="C25" i="1"/>
  <c r="C21" i="1"/>
  <c r="B29" i="1"/>
  <c r="B25" i="1"/>
  <c r="B21" i="1"/>
  <c r="C32" i="1"/>
  <c r="C24" i="1"/>
  <c r="C20" i="1"/>
  <c r="B33" i="1"/>
  <c r="C28" i="1"/>
  <c r="B20" i="1"/>
  <c r="A33" i="1"/>
  <c r="A29" i="1"/>
  <c r="A25" i="1"/>
  <c r="A21" i="1"/>
  <c r="H28" i="1"/>
  <c r="B24" i="1"/>
  <c r="B34" i="1"/>
  <c r="H23" i="1"/>
  <c r="B30" i="1"/>
  <c r="C26" i="1"/>
  <c r="A24" i="1"/>
  <c r="A34" i="1"/>
  <c r="C23" i="1"/>
  <c r="C34" i="1"/>
  <c r="A32" i="1"/>
  <c r="A23" i="1"/>
  <c r="H31" i="1"/>
  <c r="C22" i="1"/>
  <c r="B22" i="1"/>
  <c r="A22" i="1"/>
  <c r="A20" i="1"/>
  <c r="A28" i="1"/>
  <c r="C27" i="1"/>
  <c r="A26" i="1"/>
  <c r="A31" i="1"/>
  <c r="A27" i="1"/>
  <c r="C30" i="1"/>
  <c r="H27" i="1"/>
  <c r="B26" i="1"/>
  <c r="A30" i="1"/>
  <c r="G15" i="1"/>
  <c r="H15" i="1"/>
</calcChain>
</file>

<file path=xl/sharedStrings.xml><?xml version="1.0" encoding="utf-8"?>
<sst xmlns="http://schemas.openxmlformats.org/spreadsheetml/2006/main" count="10962" uniqueCount="5698">
  <si>
    <t>DRY FIRE - Estimation Workbook</t>
  </si>
  <si>
    <t>Item Description / Scope</t>
  </si>
  <si>
    <t>Product</t>
  </si>
  <si>
    <t>Quantity</t>
  </si>
  <si>
    <t>Cost (ea)</t>
  </si>
  <si>
    <t>Sell (ea)</t>
  </si>
  <si>
    <t>Markup %</t>
  </si>
  <si>
    <t>Subtotal</t>
  </si>
  <si>
    <t>Profit</t>
  </si>
  <si>
    <t>TOTAL</t>
  </si>
  <si>
    <t>FIND PRODUCT</t>
  </si>
  <si>
    <t>Search term:</t>
  </si>
  <si>
    <t>Type any part of a code, description, or supplier. Top 15 matches shown below.</t>
  </si>
  <si>
    <t>Supplier</t>
  </si>
  <si>
    <t>Code</t>
  </si>
  <si>
    <t>Description</t>
  </si>
  <si>
    <t>Cost (AUD)</t>
  </si>
  <si>
    <t>CATALOG — Consolidated Product List (auto-built from supplier tabs)</t>
  </si>
  <si>
    <t>Cost (AUD ex GST)</t>
  </si>
  <si>
    <t>Display (used by dropdown)</t>
  </si>
  <si>
    <t>SearchKey</t>
  </si>
  <si>
    <t>Match</t>
  </si>
  <si>
    <t>Rank</t>
  </si>
  <si>
    <t>Pertronic</t>
  </si>
  <si>
    <t>F220-A0.6/5A</t>
  </si>
  <si>
    <t>F220, 600mm Cabinet, 2 Loops, 5A PSU, White rackplates</t>
  </si>
  <si>
    <t>F220-A0.6/5A — F220, 600mm Cabinet, 2 Loops, 5A PSU, White rackplates (Pertronic)</t>
  </si>
  <si>
    <t>pertronic f220-a0.6/5a f220, 600mm cabinet, 2 loops, 5a psu, white rackplates</t>
  </si>
  <si>
    <t>F220-A0.6/11A</t>
  </si>
  <si>
    <t>F220, 600mm Cabinet, 2 Loops, 11A PSU, White rackplates</t>
  </si>
  <si>
    <t>F220-A0.6/11A — F220, 600mm Cabinet, 2 Loops, 11A PSU, White rackplates (Pertronic)</t>
  </si>
  <si>
    <t>pertronic f220-a0.6/11a f220, 600mm cabinet, 2 loops, 11a psu, white rackplates</t>
  </si>
  <si>
    <t>F220-A10U/5A</t>
  </si>
  <si>
    <t>F220, 10U Cabinet, 2 Loops, 5A PSU</t>
  </si>
  <si>
    <t>F220-A10U/5A — F220, 10U Cabinet, 2 Loops, 5A PSU (Pertronic)</t>
  </si>
  <si>
    <t>pertronic f220-a10u/5a f220, 10u cabinet, 2 loops, 5a psu</t>
  </si>
  <si>
    <t>F220-A13U/5A</t>
  </si>
  <si>
    <t>F220, 13U Cabinet, 2 Loops, 5A PSU</t>
  </si>
  <si>
    <t>F220-A13U/5A — F220, 13U Cabinet, 2 Loops, 5A PSU (Pertronic)</t>
  </si>
  <si>
    <t>pertronic f220-a13u/5a f220, 13u cabinet, 2 loops, 5a psu</t>
  </si>
  <si>
    <t>F220-A13U/5A-NOASE</t>
  </si>
  <si>
    <t>F220, 13U, 5A PSU, 8WCOMR, No ASE</t>
  </si>
  <si>
    <t>F220-A13U/5A-NOASE — F220, 13U, 5A PSU, 8WCOMR, No ASE (Pertronic)</t>
  </si>
  <si>
    <t>pertronic f220-a13u/5a-noase f220, 13u, 5a psu, 8wcomr, no ase</t>
  </si>
  <si>
    <t>F220-A13U/5A/EA60</t>
  </si>
  <si>
    <t>F220, 13U, 5A PSU, 60W Amp+Mic</t>
  </si>
  <si>
    <t>F220-A13U/5A/EA60 — F220, 13U, 5A PSU, 60W Amp+Mic (Pertronic)</t>
  </si>
  <si>
    <t>pertronic f220-a13u/5a/ea60 f220, 13u, 5a psu, 60w amp+mic</t>
  </si>
  <si>
    <t>F220-A13U/11A</t>
  </si>
  <si>
    <t>F220, 13U Cabinet, 2 Loops, 11A PSU</t>
  </si>
  <si>
    <t>F220-A13U/11A — F220, 13U Cabinet, 2 Loops, 11A PSU (Pertronic)</t>
  </si>
  <si>
    <t>pertronic f220-a13u/11a f220, 13u cabinet, 2 loops, 11a psu</t>
  </si>
  <si>
    <t>F220-A13U/11A/EA60</t>
  </si>
  <si>
    <t>F220, 13U, 11A PSU, 60W Amp+Mic</t>
  </si>
  <si>
    <t>F220-A13U/11A/EA60 — F220, 13U, 11A PSU, 60W Amp+Mic (Pertronic)</t>
  </si>
  <si>
    <t>pertronic f220-a13u/11a/ea60 f220, 13u, 11a psu, 60w amp+mic</t>
  </si>
  <si>
    <t>F220-A16U/5A</t>
  </si>
  <si>
    <t>F220, 16U Cabinet, 2 Loops, 5A PSU</t>
  </si>
  <si>
    <t>F220-A16U/5A — F220, 16U Cabinet, 2 Loops, 5A PSU (Pertronic)</t>
  </si>
  <si>
    <t>pertronic f220-a16u/5a f220, 16u cabinet, 2 loops, 5a psu</t>
  </si>
  <si>
    <t>F220-A16U/5A/EA60</t>
  </si>
  <si>
    <t>F220, 16U, 5A PSU, 60W Amp+Mic</t>
  </si>
  <si>
    <t>F220-A16U/5A/EA60 — F220, 16U, 5A PSU, 60W Amp+Mic (Pertronic)</t>
  </si>
  <si>
    <t>pertronic f220-a16u/5a/ea60 f220, 16u, 5a psu, 60w amp+mic</t>
  </si>
  <si>
    <t>F220-A16U/5A/NCU</t>
  </si>
  <si>
    <t>F220, 16U, 5A PSU, Network Control Unit</t>
  </si>
  <si>
    <t>F220-A16U/5A/NCU — F220, 16U, 5A PSU, Network Control Unit (Pertronic)</t>
  </si>
  <si>
    <t>pertronic f220-a16u/5a/ncu f220, 16u, 5a psu, network control unit</t>
  </si>
  <si>
    <t>F220-A16U/11A</t>
  </si>
  <si>
    <t>F220, 16U Cabinet, 2 Loops, 11A PSU</t>
  </si>
  <si>
    <t>F220-A16U/11A — F220, 16U Cabinet, 2 Loops, 11A PSU (Pertronic)</t>
  </si>
  <si>
    <t>pertronic f220-a16u/11a f220, 16u cabinet, 2 loops, 11a psu</t>
  </si>
  <si>
    <t>F220-A16U/11A/EA60</t>
  </si>
  <si>
    <t>F220, 16U, 11A PSU, 60W Amp+Mic</t>
  </si>
  <si>
    <t>F220-A16U/11A/EA60 — F220, 16U, 11A PSU, 60W Amp+Mic (Pertronic)</t>
  </si>
  <si>
    <t>pertronic f220-a16u/11a/ea60 f220, 16u, 11a psu, 60w amp+mic</t>
  </si>
  <si>
    <t>F220-A16U/11A/EA120</t>
  </si>
  <si>
    <t>F220, 16U, 11A PSU, 120W Amp+Mic</t>
  </si>
  <si>
    <t>F220-A16U/11A/EA120 — F220, 16U, 11A PSU, 120W Amp+Mic (Pertronic)</t>
  </si>
  <si>
    <t>pertronic f220-a16u/11a/ea120 f220, 16u, 11a psu, 120w amp+mic</t>
  </si>
  <si>
    <t>F220-A16U/11A/NCU</t>
  </si>
  <si>
    <t>F220, 16U, 11A PSU, Network Control Unit</t>
  </si>
  <si>
    <t>F220-A16U/11A/NCU — F220, 16U, 11A PSU, Network Control Unit (Pertronic)</t>
  </si>
  <si>
    <t>pertronic f220-a16u/11a/ncu f220, 16u, 11a psu, network control unit</t>
  </si>
  <si>
    <t>F220-A16U/22A</t>
  </si>
  <si>
    <t>F220, 16U Cabinet, 2 Loops, 22A PSU</t>
  </si>
  <si>
    <t>F220-A16U/22A — F220, 16U Cabinet, 2 Loops, 22A PSU (Pertronic)</t>
  </si>
  <si>
    <t>pertronic f220-a16u/22a f220, 16u cabinet, 2 loops, 22a psu</t>
  </si>
  <si>
    <t>F220-A16U/22A/EA120</t>
  </si>
  <si>
    <t>F220, 16U, 22A PSU, 120W Amp+Mic</t>
  </si>
  <si>
    <t>F220-A16U/22A/EA120 — F220, 16U, 22A PSU, 120W Amp+Mic (Pertronic)</t>
  </si>
  <si>
    <t>pertronic f220-a16u/22a/ea120 f220, 16u, 22a psu, 120w amp+mic</t>
  </si>
  <si>
    <t>F220-A22U/5A</t>
  </si>
  <si>
    <t>F220, 22U Cabinet, 2 Loops, 5A PSU</t>
  </si>
  <si>
    <t>F220-A22U/5A — F220, 22U Cabinet, 2 Loops, 5A PSU (Pertronic)</t>
  </si>
  <si>
    <t>pertronic f220-a22u/5a f220, 22u cabinet, 2 loops, 5a psu</t>
  </si>
  <si>
    <t>F220-A22U/5A/EA60</t>
  </si>
  <si>
    <t>F220, 22U, 5A PSU, 60W Amp+Mic</t>
  </si>
  <si>
    <t>F220-A22U/5A/EA60 — F220, 22U, 5A PSU, 60W Amp+Mic (Pertronic)</t>
  </si>
  <si>
    <t>pertronic f220-a22u/5a/ea60 f220, 22u, 5a psu, 60w amp+mic</t>
  </si>
  <si>
    <t>F220-A22U/11A</t>
  </si>
  <si>
    <t>F220, 22U Cabinet, 2 Loops, 11A PSU</t>
  </si>
  <si>
    <t>F220-A22U/11A — F220, 22U Cabinet, 2 Loops, 11A PSU (Pertronic)</t>
  </si>
  <si>
    <t>pertronic f220-a22u/11a f220, 22u cabinet, 2 loops, 11a psu</t>
  </si>
  <si>
    <t>F220-A22U/11A/EA60</t>
  </si>
  <si>
    <t>F220, 22U, 11A PSU, 60W Amp+Mic</t>
  </si>
  <si>
    <t>F220-A22U/11A/EA60 — F220, 22U, 11A PSU, 60W Amp+Mic (Pertronic)</t>
  </si>
  <si>
    <t>pertronic f220-a22u/11a/ea60 f220, 22u, 11a psu, 60w amp+mic</t>
  </si>
  <si>
    <t>F220-A22U/11A/EA120</t>
  </si>
  <si>
    <t>F220, 22U, 11A PSU, 120W Amp+Mic</t>
  </si>
  <si>
    <t>F220-A22U/11A/EA120 — F220, 22U, 11A PSU, 120W Amp+Mic (Pertronic)</t>
  </si>
  <si>
    <t>pertronic f220-a22u/11a/ea120 f220, 22u, 11a psu, 120w amp+mic</t>
  </si>
  <si>
    <t>F220-A22U/22A</t>
  </si>
  <si>
    <t>F220, 22U Cabinet, 2 Loops, 22A PSU</t>
  </si>
  <si>
    <t>F220-A22U/22A — F220, 22U Cabinet, 2 Loops, 22A PSU (Pertronic)</t>
  </si>
  <si>
    <t>pertronic f220-a22u/22a f220, 22u cabinet, 2 loops, 22a psu</t>
  </si>
  <si>
    <t>F220-A22U/22A/EA60</t>
  </si>
  <si>
    <t>F220, 22U, 22A PSU, 60W Amp+Mic</t>
  </si>
  <si>
    <t>F220-A22U/22A/EA60 — F220, 22U, 22A PSU, 60W Amp+Mic (Pertronic)</t>
  </si>
  <si>
    <t>pertronic f220-a22u/22a/ea60 f220, 22u, 22a psu, 60w amp+mic</t>
  </si>
  <si>
    <t>F220-A22U/22A/EA120</t>
  </si>
  <si>
    <t>F220, 22U, 22A PSU, 120W Amp+Mic</t>
  </si>
  <si>
    <t>F220-A22U/22A/EA120 — F220, 22U, 22A PSU, 120W Amp+Mic (Pertronic)</t>
  </si>
  <si>
    <t>pertronic f220-a22u/22a/ea120 f220, 22u, 22a psu, 120w amp+mic</t>
  </si>
  <si>
    <t>F220-A28US/5A</t>
  </si>
  <si>
    <t>F220, 28U Slim Cabinet, 2 Loops, 5A PSU</t>
  </si>
  <si>
    <t>F220-A28US/5A — F220, 28U Slim Cabinet, 2 Loops, 5A PSU (Pertronic)</t>
  </si>
  <si>
    <t>pertronic f220-a28us/5a f220, 28u slim cabinet, 2 loops, 5a psu</t>
  </si>
  <si>
    <t>F220-A28US/11A</t>
  </si>
  <si>
    <t>F220, 28U Slim Cabinet, 2 Loops, 11A PSU</t>
  </si>
  <si>
    <t>F220-A28US/11A — F220, 28U Slim Cabinet, 2 Loops, 11A PSU (Pertronic)</t>
  </si>
  <si>
    <t>pertronic f220-a28us/11a f220, 28u slim cabinet, 2 loops, 11a psu</t>
  </si>
  <si>
    <t>F220-A28US/22A</t>
  </si>
  <si>
    <t>F220, 28U Slim Cabinet, 2 Loops, 22A PSU</t>
  </si>
  <si>
    <t>F220-A28US/22A — F220, 28U Slim Cabinet, 2 Loops, 22A PSU (Pertronic)</t>
  </si>
  <si>
    <t>pertronic f220-a28us/22a f220, 28u slim cabinet, 2 loops, 22a psu</t>
  </si>
  <si>
    <t>F220-A28U/5A</t>
  </si>
  <si>
    <t>F220, 28U Cabinet, 2 Loops, 5A PSU</t>
  </si>
  <si>
    <t>F220-A28U/5A — F220, 28U Cabinet, 2 Loops, 5A PSU (Pertronic)</t>
  </si>
  <si>
    <t>pertronic f220-a28u/5a f220, 28u cabinet, 2 loops, 5a psu</t>
  </si>
  <si>
    <t>F220-A28U/11A</t>
  </si>
  <si>
    <t>F220, 28U Cabinet, 2 Loops, 11A PSU</t>
  </si>
  <si>
    <t>F220-A28U/11A — F220, 28U Cabinet, 2 Loops, 11A PSU (Pertronic)</t>
  </si>
  <si>
    <t>pertronic f220-a28u/11a f220, 28u cabinet, 2 loops, 11a psu</t>
  </si>
  <si>
    <t>F220-A28U/22A</t>
  </si>
  <si>
    <t>F220, 28U Cabinet, 2 Loops, 22A PSU</t>
  </si>
  <si>
    <t>F220-A28U/22A — F220, 28U Cabinet, 2 Loops, 22A PSU (Pertronic)</t>
  </si>
  <si>
    <t>pertronic f220-a28u/22a f220, 28u cabinet, 2 loops, 22a psu</t>
  </si>
  <si>
    <t>F220-A40U/5A</t>
  </si>
  <si>
    <t>F220, 40U Cabinet, 2 Loops, 5A PSU</t>
  </si>
  <si>
    <t>F220-A40U/5A — F220, 40U Cabinet, 2 Loops, 5A PSU (Pertronic)</t>
  </si>
  <si>
    <t>pertronic f220-a40u/5a f220, 40u cabinet, 2 loops, 5a psu</t>
  </si>
  <si>
    <t>F220-A40U/11A</t>
  </si>
  <si>
    <t>F220, 40U Cabinet, 2 Loops, 11A PSU</t>
  </si>
  <si>
    <t>F220-A40U/11A — F220, 40U Cabinet, 2 Loops, 11A PSU (Pertronic)</t>
  </si>
  <si>
    <t>pertronic f220-a40u/11a f220, 40u cabinet, 2 loops, 11a psu</t>
  </si>
  <si>
    <t>F220-A40U/22A</t>
  </si>
  <si>
    <t>F220, 40U Cabinet, 2 Loops, 22A PSU</t>
  </si>
  <si>
    <t>F220-A40U/22A — F220, 40U Cabinet, 2 Loops, 22A PSU (Pertronic)</t>
  </si>
  <si>
    <t>pertronic f220-a40u/22a f220, 40u cabinet, 2 loops, 22a psu</t>
  </si>
  <si>
    <t>F220-A10U/5A-ARC</t>
  </si>
  <si>
    <t>F220, 10U, 5A PSU c/w ARC</t>
  </si>
  <si>
    <t>F220-A10U/5A-ARC — F220, 10U, 5A PSU c/w ARC (Pertronic)</t>
  </si>
  <si>
    <t>pertronic f220-a10u/5a-arc f220, 10u, 5a psu c/w arc</t>
  </si>
  <si>
    <t>F220-A13U/5A-ARC</t>
  </si>
  <si>
    <t>F220, 13U, 5A PSU c/w ARC</t>
  </si>
  <si>
    <t>F220-A13U/5A-ARC — F220, 13U, 5A PSU c/w ARC (Pertronic)</t>
  </si>
  <si>
    <t>pertronic f220-a13u/5a-arc f220, 13u, 5a psu c/w arc</t>
  </si>
  <si>
    <t>F220-A16U/5A-ARC</t>
  </si>
  <si>
    <t>F220, 16U, 5A PSU c/w ARC</t>
  </si>
  <si>
    <t>F220-A16U/5A-ARC — F220, 16U, 5A PSU c/w ARC (Pertronic)</t>
  </si>
  <si>
    <t>pertronic f220-a16u/5a-arc f220, 16u, 5a psu c/w arc</t>
  </si>
  <si>
    <t>F220-A16U/11A-ARC</t>
  </si>
  <si>
    <t>F220, 16U, 11A PSU c/w ARC</t>
  </si>
  <si>
    <t>F220-A16U/11A-ARC — F220, 16U, 11A PSU c/w ARC (Pertronic)</t>
  </si>
  <si>
    <t>pertronic f220-a16u/11a-arc f220, 16u, 11a psu c/w arc</t>
  </si>
  <si>
    <t>F220-A28U/5A-ARC</t>
  </si>
  <si>
    <t>F220, 28U, 5A PSU c/w ARC</t>
  </si>
  <si>
    <t>F220-A28U/5A-ARC — F220, 28U, 5A PSU c/w ARC (Pertronic)</t>
  </si>
  <si>
    <t>pertronic f220-a28u/5a-arc f220, 28u, 5a psu c/w arc</t>
  </si>
  <si>
    <t>F220-A28U/11A-ARC</t>
  </si>
  <si>
    <t>F220, 28U, 11A PSU c/w ARC</t>
  </si>
  <si>
    <t>F220-A28U/11A-ARC — F220, 28U, 11A PSU c/w ARC (Pertronic)</t>
  </si>
  <si>
    <t>pertronic f220-a28u/11a-arc f220, 28u, 11a psu c/w arc</t>
  </si>
  <si>
    <t>F120P2LMB-A</t>
  </si>
  <si>
    <t>F120A/F220 2 Loop Driver Mini Board V1.16</t>
  </si>
  <si>
    <t>F120P2LMB-A — F120A/F220 2 Loop Driver Mini Board V1.16 (Pertronic)</t>
  </si>
  <si>
    <t>pertronic f120p2lmb-a f120a/f220 2 loop driver mini board v1.16</t>
  </si>
  <si>
    <t>LPSNUB</t>
  </si>
  <si>
    <t>Loop Snubber PCB Assembly</t>
  </si>
  <si>
    <t>LPSNUB — Loop Snubber PCB Assembly (Pertronic)</t>
  </si>
  <si>
    <t>pertronic lpsnub loop snubber pcb assembly</t>
  </si>
  <si>
    <t>F220-FFMA</t>
  </si>
  <si>
    <t>F220 LCD Full Function Mimic AUS</t>
  </si>
  <si>
    <t>F220-FFMA — F220 LCD Full Function Mimic AUS (Pertronic)</t>
  </si>
  <si>
    <t>pertronic f220-ffma f220 lcd full function mimic aus</t>
  </si>
  <si>
    <t>F220-AMMA</t>
  </si>
  <si>
    <t>F220 Alarm Mini-Mimic AUS</t>
  </si>
  <si>
    <t>F220-AMMA — F220 Alarm Mini-Mimic AUS (Pertronic)</t>
  </si>
  <si>
    <t>pertronic f220-amma f220 alarm mini-mimic aus</t>
  </si>
  <si>
    <t>F220-EMMA</t>
  </si>
  <si>
    <t>F220 Enhanced Mini-Mimic AUS</t>
  </si>
  <si>
    <t>F220-EMMA — F220 Enhanced Mini-Mimic AUS (Pertronic)</t>
  </si>
  <si>
    <t>pertronic f220-emma f220 enhanced mini-mimic aus</t>
  </si>
  <si>
    <t>MINIMIMIC</t>
  </si>
  <si>
    <t>F100A/F120A LCD Mini Mimic with Next &amp; Buzzer Mute</t>
  </si>
  <si>
    <t>MINIMIMIC — F100A/F120A LCD Mini Mimic with Next &amp; Buzzer Mute (Pertronic)</t>
  </si>
  <si>
    <t>pertronic minimimic f100a/f120a lcd mini mimic with next &amp; buzzer mute</t>
  </si>
  <si>
    <t>FIREMAP</t>
  </si>
  <si>
    <t>FireMap Graphics Software Licence</t>
  </si>
  <si>
    <t>FIREMAP — FireMap Graphics Software Licence (Pertronic)</t>
  </si>
  <si>
    <t>pertronic firemap firemap graphics software licence</t>
  </si>
  <si>
    <t>8RLYM</t>
  </si>
  <si>
    <t>8 Way Relay Card (requires LAC485)</t>
  </si>
  <si>
    <t>8RLYM — 8 Way Relay Card (requires LAC485) (Pertronic)</t>
  </si>
  <si>
    <t>pertronic 8rlym 8 way relay card (requires lac485)</t>
  </si>
  <si>
    <t>LAC485</t>
  </si>
  <si>
    <t>LED Address Controller RS485 — Pulsing LED</t>
  </si>
  <si>
    <t>LAC485 — LED Address Controller RS485 — Pulsing LED (Pertronic)</t>
  </si>
  <si>
    <t>pertronic lac485 led address controller rs485 — pulsing led</t>
  </si>
  <si>
    <t>AALR-MFA</t>
  </si>
  <si>
    <t>AA Loop Responder 8 I/P Multifunction+Rly O/P</t>
  </si>
  <si>
    <t>AALR-MFA — AA Loop Responder 8 I/P Multifunction+Rly O/P (Pertronic)</t>
  </si>
  <si>
    <t>pertronic aalr-mfa aa loop responder 8 i/p multifunction+rly o/p</t>
  </si>
  <si>
    <t>AALREL</t>
  </si>
  <si>
    <t>AA Loop Relay — 4 Relay</t>
  </si>
  <si>
    <t>AALREL — AA Loop Relay — 4 Relay (Pertronic)</t>
  </si>
  <si>
    <t>pertronic aalrel aa loop relay — 4 relay</t>
  </si>
  <si>
    <t>AAM</t>
  </si>
  <si>
    <t>Alarm Acknowledge Module</t>
  </si>
  <si>
    <t>AAM — Alarm Acknowledge Module (Pertronic)</t>
  </si>
  <si>
    <t>pertronic aam alarm acknowledge module</t>
  </si>
  <si>
    <t>8SAAIB</t>
  </si>
  <si>
    <t>AA Isolator Board — 8 Spur</t>
  </si>
  <si>
    <t>8SAAIB — AA Isolator Board — 8 Spur (Pertronic)</t>
  </si>
  <si>
    <t>pertronic 8saaib aa isolator board — 8 spur</t>
  </si>
  <si>
    <t>ITM</t>
  </si>
  <si>
    <t>AA Isolate Timer Module</t>
  </si>
  <si>
    <t>ITM — AA Isolate Timer Module (Pertronic)</t>
  </si>
  <si>
    <t>pertronic itm aa isolate timer module</t>
  </si>
  <si>
    <t>PMB125</t>
  </si>
  <si>
    <t>Universal AA Mounting Box 123x123x55mm</t>
  </si>
  <si>
    <t>PMB125 — Universal AA Mounting Box 123x123x55mm (Pertronic)</t>
  </si>
  <si>
    <t>pertronic pmb125 universal aa mounting box 123x123x55mm</t>
  </si>
  <si>
    <t>8WCOMR</t>
  </si>
  <si>
    <t>8 Way Common Relay Board</t>
  </si>
  <si>
    <t>8WCOMR — 8 Way Common Relay Board (Pertronic)</t>
  </si>
  <si>
    <t>pertronic 8wcomr 8 way common relay board</t>
  </si>
  <si>
    <t>ZMB24V</t>
  </si>
  <si>
    <t>Zonal Bell Monitor Board 24V</t>
  </si>
  <si>
    <t>ZMB24V — Zonal Bell Monitor Board 24V (Pertronic)</t>
  </si>
  <si>
    <t>pertronic zmb24v zonal bell monitor board 24v</t>
  </si>
  <si>
    <t>M500DMR</t>
  </si>
  <si>
    <t>AA Dual Input/Output Module</t>
  </si>
  <si>
    <t>M500DMR — AA Dual Input/Output Module (Pertronic)</t>
  </si>
  <si>
    <t>pertronic m500dmr aa dual input/output module</t>
  </si>
  <si>
    <t>M500M</t>
  </si>
  <si>
    <t>AA Single Input Module</t>
  </si>
  <si>
    <t>M500M — AA Single Input Module (Pertronic)</t>
  </si>
  <si>
    <t>pertronic m500m aa single input module</t>
  </si>
  <si>
    <t>M500R</t>
  </si>
  <si>
    <t>AA Single Relay Output Module</t>
  </si>
  <si>
    <t>M500R — AA Single Relay Output Module (Pertronic)</t>
  </si>
  <si>
    <t>pertronic m500r aa single relay output module</t>
  </si>
  <si>
    <t>M500S</t>
  </si>
  <si>
    <t>AA Single Supervised Relay Output Module</t>
  </si>
  <si>
    <t>M500S — AA Single Supervised Relay Output Module (Pertronic)</t>
  </si>
  <si>
    <t>pertronic m500s aa single supervised relay output module</t>
  </si>
  <si>
    <t>M501M</t>
  </si>
  <si>
    <t>AA Single Input Mini Module</t>
  </si>
  <si>
    <t>M501M — AA Single Input Mini Module (Pertronic)</t>
  </si>
  <si>
    <t>pertronic m501m aa single input mini module</t>
  </si>
  <si>
    <t>M500X</t>
  </si>
  <si>
    <t>Loop Isolator Module</t>
  </si>
  <si>
    <t>M500X — Loop Isolator Module (Pertronic)</t>
  </si>
  <si>
    <t>pertronic m500x loop isolator module</t>
  </si>
  <si>
    <t>ISO524-1</t>
  </si>
  <si>
    <t>Short Circuit Isolator Single Euro</t>
  </si>
  <si>
    <t>ISO524-1 — Short Circuit Isolator Single Euro (Pertronic)</t>
  </si>
  <si>
    <t>pertronic iso524-1 short circuit isolator single euro</t>
  </si>
  <si>
    <t>M200E-SMB</t>
  </si>
  <si>
    <t>Surface Mount Box for 200 Series Modules</t>
  </si>
  <si>
    <t>M200E-SMB — Surface Mount Box for 200 Series Modules (Pertronic)</t>
  </si>
  <si>
    <t>pertronic m200e-smb surface mount box for 200 series modules</t>
  </si>
  <si>
    <t>FCM</t>
  </si>
  <si>
    <t>Fan Control Module (AS1670.1-2018)</t>
  </si>
  <si>
    <t>FCM — Fan Control Module (AS1670.1-2018) (Pertronic)</t>
  </si>
  <si>
    <t>pertronic fcm fan control module (as1670.1-2018)</t>
  </si>
  <si>
    <t>FCRLY</t>
  </si>
  <si>
    <t>Fan Control Relay 125x125x56mm Enclosure</t>
  </si>
  <si>
    <t>FCRLY — Fan Control Relay 125x125x56mm Enclosure (Pertronic)</t>
  </si>
  <si>
    <t>pertronic fcrly fan control relay 125x125x56mm enclosure</t>
  </si>
  <si>
    <t>FCRM</t>
  </si>
  <si>
    <t>Fan Control Repeater Module (AS1670.1-2018)</t>
  </si>
  <si>
    <t>FCRM — Fan Control Repeater Module (AS1670.1-2018) (Pertronic)</t>
  </si>
  <si>
    <t>pertronic fcrm fan control repeater module (as1670.1-2018)</t>
  </si>
  <si>
    <t>FCRESETU</t>
  </si>
  <si>
    <t>Fan Control Reset Unit (AS1670.1-2018)</t>
  </si>
  <si>
    <t>FCRESETU — Fan Control Reset Unit (AS1670.1-2018) (Pertronic)</t>
  </si>
  <si>
    <t>pertronic fcresetu fan control reset unit (as1670.1-2018)</t>
  </si>
  <si>
    <t>FCSU</t>
  </si>
  <si>
    <t>Fan Control Switch Unit (AS1670.1-2018)</t>
  </si>
  <si>
    <t>FCSU — Fan Control Switch Unit (AS1670.1-2018) (Pertronic)</t>
  </si>
  <si>
    <t>pertronic fcsu fan control switch unit (as1670.1-2018)</t>
  </si>
  <si>
    <t>DCSWU</t>
  </si>
  <si>
    <t>Damper Control Switch Unit NF/FLT/FIR (AS1670.1-2018)</t>
  </si>
  <si>
    <t>DCSWU — Damper Control Switch Unit NF/FLT/FIR (AS1670.1-2018) (Pertronic)</t>
  </si>
  <si>
    <t>pertronic dcswu damper control switch unit nf/flt/fir (as1670.1-2018)</t>
  </si>
  <si>
    <t>DCSRU</t>
  </si>
  <si>
    <t>Damper Control Repeater Unit NF/FLT/FIR Indication only</t>
  </si>
  <si>
    <t>DCSRU — Damper Control Repeater Unit NF/FLT/FIR Indication only (Pertronic)</t>
  </si>
  <si>
    <t>pertronic dcsru damper control repeater unit nf/flt/fir indication only</t>
  </si>
  <si>
    <t>NET2CARD</t>
  </si>
  <si>
    <t>F220 Net2 Network Card</t>
  </si>
  <si>
    <t>NET2CARD — F220 Net2 Network Card (Pertronic)</t>
  </si>
  <si>
    <t>pertronic net2card f220 net2 network card</t>
  </si>
  <si>
    <t>FMEGATE</t>
  </si>
  <si>
    <t>FireMap Ethernet Gateway Card F100A/F120A/F220</t>
  </si>
  <si>
    <t>FMEGATE — FireMap Ethernet Gateway Card F100A/F120A/F220 (Pertronic)</t>
  </si>
  <si>
    <t>pertronic fmegate firemap ethernet gateway card f100a/f120a/f220</t>
  </si>
  <si>
    <t>FIBNET-MMF</t>
  </si>
  <si>
    <t>Multi Mode Fibre Converter for NET2CARD (2km) ST</t>
  </si>
  <si>
    <t>FIBNET-MMF — Multi Mode Fibre Converter for NET2CARD (2km) ST (Pertronic)</t>
  </si>
  <si>
    <t>pertronic fibnet-mmf multi mode fibre converter for net2card (2km) st</t>
  </si>
  <si>
    <t>FIBNET-MMF-SC</t>
  </si>
  <si>
    <t>Multi Mode Fibre Converter for NET2CARD (2km) SC</t>
  </si>
  <si>
    <t>FIBNET-MMF-SC — Multi Mode Fibre Converter for NET2CARD (2km) SC (Pertronic)</t>
  </si>
  <si>
    <t>pertronic fibnet-mmf-sc multi mode fibre converter for net2card (2km) sc</t>
  </si>
  <si>
    <t>FIBNET-SMF</t>
  </si>
  <si>
    <t>Single Mode Fibre Converter for NET2CARD (20km) ST</t>
  </si>
  <si>
    <t>FIBNET-SMF — Single Mode Fibre Converter for NET2CARD (20km) ST (Pertronic)</t>
  </si>
  <si>
    <t>pertronic fibnet-smf single mode fibre converter for net2card (20km) st</t>
  </si>
  <si>
    <t>SPIB-MODBUS</t>
  </si>
  <si>
    <t>SPIB Interface MODBUS HLI F100/F120/F220</t>
  </si>
  <si>
    <t>SPIB-MODBUS — SPIB Interface MODBUS HLI F100/F120/F220 (Pertronic)</t>
  </si>
  <si>
    <t>pertronic spib-modbus spib interface modbus hli f100/f120/f220</t>
  </si>
  <si>
    <t>BASGLX-M1</t>
  </si>
  <si>
    <t>BASgatewayLX Modbus to BACnet Gateway</t>
  </si>
  <si>
    <t>BASGLX-M1 — BASgatewayLX Modbus to BACnet Gateway (Pertronic)</t>
  </si>
  <si>
    <t>pertronic basglx-m1 basgatewaylx modbus to bacnet gateway</t>
  </si>
  <si>
    <t>2251CPI-W</t>
  </si>
  <si>
    <t>AA Photoelectric C Series Smoke Detector — White</t>
  </si>
  <si>
    <t>2251CPI-W — AA Photoelectric C Series Smoke Detector — White (Pertronic)</t>
  </si>
  <si>
    <t>pertronic 2251cpi-w aa photoelectric c series smoke detector — white</t>
  </si>
  <si>
    <t>2251CPI-IV</t>
  </si>
  <si>
    <t>AA Photoelectric C Series Smoke Detector — Ivory</t>
  </si>
  <si>
    <t>2251CPI-IV — AA Photoelectric C Series Smoke Detector — Ivory (Pertronic)</t>
  </si>
  <si>
    <t>pertronic 2251cpi-iv aa photoelectric c series smoke detector — ivory</t>
  </si>
  <si>
    <t>2251BPI-BK</t>
  </si>
  <si>
    <t>AA Photoelectric Smoke Detector — Black</t>
  </si>
  <si>
    <t>2251BPI-BK — AA Photoelectric Smoke Detector — Black (Pertronic)</t>
  </si>
  <si>
    <t>pertronic 2251bpi-bk aa photoelectric smoke detector — black</t>
  </si>
  <si>
    <t>2351PTIRAUS-W</t>
  </si>
  <si>
    <t>AA Photo-Thermal-IR Multi Sensor — White (excl base)</t>
  </si>
  <si>
    <t>2351PTIRAUS-W — AA Photo-Thermal-IR Multi Sensor — White (excl base) (Pertronic)</t>
  </si>
  <si>
    <t>pertronic 2351ptiraus-w aa photo-thermal-ir multi sensor — white (excl base)</t>
  </si>
  <si>
    <t>5251CPI-W</t>
  </si>
  <si>
    <t>AA Fixed Temp Thermal Detector Type B&amp;D — White</t>
  </si>
  <si>
    <t>5251CPI-W — AA Fixed Temp Thermal Detector Type B&amp;D — White (Pertronic)</t>
  </si>
  <si>
    <t>pertronic 5251cpi-w aa fixed temp thermal detector type b&amp;d — white</t>
  </si>
  <si>
    <t>5251RCPI-W</t>
  </si>
  <si>
    <t>AA ROR Thermal Detector Type A&amp;C — White</t>
  </si>
  <si>
    <t>5251RCPI-W — AA ROR Thermal Detector Type A&amp;C — White (Pertronic)</t>
  </si>
  <si>
    <t>pertronic 5251rcpi-w aa ror thermal detector type a&amp;c — white</t>
  </si>
  <si>
    <t>5251B-WP</t>
  </si>
  <si>
    <t>AA Weatherproof Heat Detector Fixed Temp (with B501A base)</t>
  </si>
  <si>
    <t>5251B-WP — AA Weatherproof Heat Detector Fixed Temp (with B501A base) (Pertronic)</t>
  </si>
  <si>
    <t>pertronic 5251b-wp aa weatherproof heat detector fixed temp (with b501a base)</t>
  </si>
  <si>
    <t>5251RB-WP</t>
  </si>
  <si>
    <t>AA Weatherproof Thermal Detector ROR+Fixed Temp</t>
  </si>
  <si>
    <t>5251RB-WP — AA Weatherproof Thermal Detector ROR+Fixed Temp (Pertronic)</t>
  </si>
  <si>
    <t>pertronic 5251rb-wp aa weatherproof thermal detector ror+fixed temp</t>
  </si>
  <si>
    <t>7251CPI-W</t>
  </si>
  <si>
    <t>AA Pinnacle Hi-Sensitivity Smoke C Series — White (excl base)</t>
  </si>
  <si>
    <t>7251CPI-W — AA Pinnacle Hi-Sensitivity Smoke C Series — White (excl base) (Pertronic)</t>
  </si>
  <si>
    <t>pertronic 7251cpi-w aa pinnacle hi-sensitivity smoke c series — white (excl base)</t>
  </si>
  <si>
    <t>CP500</t>
  </si>
  <si>
    <t>CP500 Handheld Programmer for AA Weatherproof Detectors</t>
  </si>
  <si>
    <t>CP500 — CP500 Handheld Programmer for AA Weatherproof Detectors (Pertronic)</t>
  </si>
  <si>
    <t>pertronic cp500 cp500 handheld programmer for aa weatherproof detectors</t>
  </si>
  <si>
    <t>22051TLE-34-W</t>
  </si>
  <si>
    <t>PTIR Multi-Criteria Analogue Smoke — White</t>
  </si>
  <si>
    <t>22051TLE-34-W — PTIR Multi-Criteria Analogue Smoke — White (Pertronic)</t>
  </si>
  <si>
    <t>pertronic 22051tle-34-w ptir multi-criteria analogue smoke — white</t>
  </si>
  <si>
    <t>2251CTLE-34-IV</t>
  </si>
  <si>
    <t>COPTIR CO Multi-Criteria Analogue Smoke — Ivory</t>
  </si>
  <si>
    <t>2251CTLE-34-IV — COPTIR CO Multi-Criteria Analogue Smoke — Ivory (Pertronic)</t>
  </si>
  <si>
    <t>pertronic 2251ctle-34-iv coptir co multi-criteria analogue smoke — ivory</t>
  </si>
  <si>
    <t>B501AUS-W</t>
  </si>
  <si>
    <t>AA Detector Base — White</t>
  </si>
  <si>
    <t>B501AUS-W — AA Detector Base — White (Pertronic)</t>
  </si>
  <si>
    <t>pertronic b501aus-w aa detector base — white</t>
  </si>
  <si>
    <t>B501AUS-BK</t>
  </si>
  <si>
    <t>AA Detector Base — Black</t>
  </si>
  <si>
    <t>B501AUS-BK — AA Detector Base — Black (Pertronic)</t>
  </si>
  <si>
    <t>pertronic b501aus-bk aa detector base — black</t>
  </si>
  <si>
    <t>B501AP-W</t>
  </si>
  <si>
    <t>AA Detector Base — White (Addressable Sounder Compatible)</t>
  </si>
  <si>
    <t>B501AP-W — AA Detector Base — White (Addressable Sounder Compatible) (Pertronic)</t>
  </si>
  <si>
    <t>pertronic b501ap-w aa detector base — white (addressable sounder compatible)</t>
  </si>
  <si>
    <t>B501AP-BK</t>
  </si>
  <si>
    <t>AA Detector Base — Black (Addressable Sounder Compatible)</t>
  </si>
  <si>
    <t>B501AP-BK — AA Detector Base — Black (Addressable Sounder Compatible) (Pertronic)</t>
  </si>
  <si>
    <t>pertronic b501ap-bk aa detector base — black (addressable sounder compatible)</t>
  </si>
  <si>
    <t>B501BI-W</t>
  </si>
  <si>
    <t>Isolator Base — Bright White for addressable detector</t>
  </si>
  <si>
    <t>B501BI-W — Isolator Base — Bright White for addressable detector (Pertronic)</t>
  </si>
  <si>
    <t>pertronic b501bi-w isolator base — bright white for addressable detector</t>
  </si>
  <si>
    <t>DNR-AUS</t>
  </si>
  <si>
    <t>AA Duct Housing, No Relay, No Detector</t>
  </si>
  <si>
    <t>DNR-AUS — AA Duct Housing, No Relay, No Detector (Pertronic)</t>
  </si>
  <si>
    <t>pertronic dnr-aus aa duct housing, no relay, no detector</t>
  </si>
  <si>
    <t>DNRW</t>
  </si>
  <si>
    <t>AA Watertight Non-Relay Duct Sampling</t>
  </si>
  <si>
    <t>DNRW — AA Watertight Non-Relay Duct Sampling (Pertronic)</t>
  </si>
  <si>
    <t>pertronic dnrw aa watertight non-relay duct sampling</t>
  </si>
  <si>
    <t>DST1.5</t>
  </si>
  <si>
    <t>Metal Sampling Tube — Duct Width 0.3–0.6m</t>
  </si>
  <si>
    <t>DST1.5 — Metal Sampling Tube — Duct Width 0.3–0.6m (Pertronic)</t>
  </si>
  <si>
    <t>pertronic dst1.5 metal sampling tube — duct width 0.3–0.6m</t>
  </si>
  <si>
    <t>DST3</t>
  </si>
  <si>
    <t>Metal Sampling Tube — Duct Width 0.6–1.2m</t>
  </si>
  <si>
    <t>DST3 — Metal Sampling Tube — Duct Width 0.6–1.2m (Pertronic)</t>
  </si>
  <si>
    <t>pertronic dst3 metal sampling tube — duct width 0.6–1.2m</t>
  </si>
  <si>
    <t>DST5</t>
  </si>
  <si>
    <t>Metal Sampling Tube — Duct Width 1.2–2.4m</t>
  </si>
  <si>
    <t>DST5 — Metal Sampling Tube — Duct Width 1.2–2.4m (Pertronic)</t>
  </si>
  <si>
    <t>pertronic dst5 metal sampling tube — duct width 1.2–2.4m</t>
  </si>
  <si>
    <t>DST10</t>
  </si>
  <si>
    <t>Metal Sampling Tube — Duct Width 2.4–3.7m</t>
  </si>
  <si>
    <t>DST10 — Metal Sampling Tube — Duct Width 2.4–3.7m (Pertronic)</t>
  </si>
  <si>
    <t>pertronic dst10 metal sampling tube — duct width 2.4–3.7m</t>
  </si>
  <si>
    <t>2151BPI-W</t>
  </si>
  <si>
    <t>Low Profile Photo Smoke Detector — White (excl base)</t>
  </si>
  <si>
    <t>2151BPI-W — Low Profile Photo Smoke Detector — White (excl base) (Pertronic)</t>
  </si>
  <si>
    <t>pertronic 2151bpi-w low profile photo smoke detector — white (excl base)</t>
  </si>
  <si>
    <t>2151BPI</t>
  </si>
  <si>
    <t>Low Profile Photo Smoke Detector — Ivory (excl base)</t>
  </si>
  <si>
    <t>2151BPI — Low Profile Photo Smoke Detector — Ivory (excl base) (Pertronic)</t>
  </si>
  <si>
    <t>pertronic 2151bpi low profile photo smoke detector — ivory (excl base)</t>
  </si>
  <si>
    <t>5151RAUS</t>
  </si>
  <si>
    <t>Conv. Heat Detector ROR+Fixed 63°C — Type A</t>
  </si>
  <si>
    <t>5151RAUS — Conv. Heat Detector ROR+Fixed 63°C — Type A (Pertronic)</t>
  </si>
  <si>
    <t>pertronic 5151raus conv. heat detector ror+fixed 63°c — type a</t>
  </si>
  <si>
    <t>5151AUS</t>
  </si>
  <si>
    <t>Conv. Heat Detector Fixed 63°C — Type B</t>
  </si>
  <si>
    <t>5151AUS — Conv. Heat Detector Fixed 63°C — Type B (Pertronic)</t>
  </si>
  <si>
    <t>pertronic 5151aus conv. heat detector fixed 63°c — type b</t>
  </si>
  <si>
    <t>5151RHAUS</t>
  </si>
  <si>
    <t>Conv. Heat Detector ROR+Fixed 90°C — Type C</t>
  </si>
  <si>
    <t>5151RHAUS — Conv. Heat Detector ROR+Fixed 90°C — Type C (Pertronic)</t>
  </si>
  <si>
    <t>pertronic 5151rhaus conv. heat detector ror+fixed 90°c — type c</t>
  </si>
  <si>
    <t>5151HAUS</t>
  </si>
  <si>
    <t>Conv. Heat Detector Fixed 90°C — Type D</t>
  </si>
  <si>
    <t>5151HAUS — Conv. Heat Detector Fixed 90°C — Type D (Pertronic)</t>
  </si>
  <si>
    <t>pertronic 5151haus conv. heat detector fixed 90°c — type d</t>
  </si>
  <si>
    <t>885-WP</t>
  </si>
  <si>
    <t>Weatherproof Conv. Type B Heat Detector (Fixed)</t>
  </si>
  <si>
    <t>885-WP — Weatherproof Conv. Type B Heat Detector (Fixed) (Pertronic)</t>
  </si>
  <si>
    <t>pertronic 885-wp weatherproof conv. type b heat detector (fixed)</t>
  </si>
  <si>
    <t>B401-W</t>
  </si>
  <si>
    <t>Conventional Detector Base — White</t>
  </si>
  <si>
    <t>B401-W — Conventional Detector Base — White (Pertronic)</t>
  </si>
  <si>
    <t>pertronic b401-w conventional detector base — white</t>
  </si>
  <si>
    <t>B401R</t>
  </si>
  <si>
    <t>Conventional Detector Base with 470 Ohm Resistor</t>
  </si>
  <si>
    <t>B401R — Conventional Detector Base with 470 Ohm Resistor (Pertronic)</t>
  </si>
  <si>
    <t>pertronic b401r conventional detector base with 470 ohm resistor</t>
  </si>
  <si>
    <t>FRONE</t>
  </si>
  <si>
    <t>Fireray One Beam Smoke Detector (50m reflector)</t>
  </si>
  <si>
    <t>FRONE — Fireray One Beam Smoke Detector (50m reflector) (Pertronic)</t>
  </si>
  <si>
    <t>pertronic frone fireray one beam smoke detector (50m reflector)</t>
  </si>
  <si>
    <t>FRLRK</t>
  </si>
  <si>
    <t>Fireray Long Range Reflector Kit (120m)</t>
  </si>
  <si>
    <t>FRLRK — Fireray Long Range Reflector Kit (120m) (Pertronic)</t>
  </si>
  <si>
    <t>pertronic frlrk fireray long range reflector kit (120m)</t>
  </si>
  <si>
    <t>FRSBB</t>
  </si>
  <si>
    <t>Fireray Surface Back Box</t>
  </si>
  <si>
    <t>FRSBB — Fireray Surface Back Box (Pertronic)</t>
  </si>
  <si>
    <t>pertronic frsbb fireray surface back box</t>
  </si>
  <si>
    <t>FRACH</t>
  </si>
  <si>
    <t>Fireray Anti-condensation Heater</t>
  </si>
  <si>
    <t>FRACH — Fireray Anti-condensation Heater (Pertronic)</t>
  </si>
  <si>
    <t>pertronic frach fireray anti-condensation heater</t>
  </si>
  <si>
    <t>D2-AUS</t>
  </si>
  <si>
    <t>2 Wire Conv. Duct Smoke Detector &amp; Housing (excl tube)</t>
  </si>
  <si>
    <t>D2-AUS — 2 Wire Conv. Duct Smoke Detector &amp; Housing (excl tube) (Pertronic)</t>
  </si>
  <si>
    <t>pertronic d2-aus 2 wire conv. duct smoke detector &amp; housing (excl tube)</t>
  </si>
  <si>
    <t>D4120</t>
  </si>
  <si>
    <t>4 Wire Conv. Duct Smoke Detector 24V c/w Relay (excl tube)</t>
  </si>
  <si>
    <t>D4120 — 4 Wire Conv. Duct Smoke Detector 24V c/w Relay (excl tube) (Pertronic)</t>
  </si>
  <si>
    <t>pertronic d4120 4 wire conv. duct smoke detector 24v c/w relay (excl tube)</t>
  </si>
  <si>
    <t>RFD-2000X</t>
  </si>
  <si>
    <t>RFD-2000X UV/IR Flame Detector incl. mounting bracket</t>
  </si>
  <si>
    <t>RFD-2000X — RFD-2000X UV/IR Flame Detector incl. mounting bracket (Pertronic)</t>
  </si>
  <si>
    <t>pertronic rfd-2000x rfd-2000x uv/ir flame detector incl. mounting bracket</t>
  </si>
  <si>
    <t>RFD-3000X</t>
  </si>
  <si>
    <t>RFD-3000X IR3 Flame Detector incl. mounting bracket</t>
  </si>
  <si>
    <t>RFD-3000X — RFD-3000X IR3 Flame Detector incl. mounting bracket (Pertronic)</t>
  </si>
  <si>
    <t>pertronic rfd-3000x rfd-3000x ir3 flame detector incl. mounting bracket</t>
  </si>
  <si>
    <t>MCP5A-RP02SF-K013-01</t>
  </si>
  <si>
    <t>KAC Resettable AA MCP Red c/w loop isolator, surface</t>
  </si>
  <si>
    <t>MCP5A-RP02SF-K013-01 — KAC Resettable AA MCP Red c/w loop isolator, surface (Pertronic)</t>
  </si>
  <si>
    <t>pertronic mcp5a-rp02sf-k013-01 kac resettable aa mcp red c/w loop isolator, surface</t>
  </si>
  <si>
    <t>WCP5A-RP01SG-K013-01</t>
  </si>
  <si>
    <t>KAC Weatherproof AA MCP Red with mounting box</t>
  </si>
  <si>
    <t>WCP5A-RP01SG-K013-01 — KAC Weatherproof AA MCP Red with mounting box (Pertronic)</t>
  </si>
  <si>
    <t>pertronic wcp5a-rp01sg-k013-01 kac weatherproof aa mcp red with mounting box</t>
  </si>
  <si>
    <t>MCP3A-R000SG-P088-01</t>
  </si>
  <si>
    <t>KAC Conv. Call Point — Red with mounting box</t>
  </si>
  <si>
    <t>MCP3A-R000SG-P088-01 — KAC Conv. Call Point — Red with mounting box (Pertronic)</t>
  </si>
  <si>
    <t>pertronic mcp3a-r000sg-p088-01 kac conv. call point — red with mounting box</t>
  </si>
  <si>
    <t>MCP3A-W000SG-P088-02</t>
  </si>
  <si>
    <t>KAC Conv. Call Point — White with mounting box</t>
  </si>
  <si>
    <t>MCP3A-W000SG-P088-02 — KAC Conv. Call Point — White with mounting box (Pertronic)</t>
  </si>
  <si>
    <t>pertronic mcp3a-w000sg-p088-02 kac conv. call point — white with mounting box</t>
  </si>
  <si>
    <t>WCP3A-R000SG-STCK-01</t>
  </si>
  <si>
    <t>KAC Weatherproof Conv. MCP Red with mounting box</t>
  </si>
  <si>
    <t>WCP3A-R000SG-STCK-01 — KAC Weatherproof Conv. MCP Red with mounting box (Pertronic)</t>
  </si>
  <si>
    <t>pertronic wcp3a-r000sg-stck-01 kac weatherproof conv. mcp red with mounting box</t>
  </si>
  <si>
    <t>MCP4A-Y000SG-K013-11</t>
  </si>
  <si>
    <t>Yellow Double Pole Gas Release MCP</t>
  </si>
  <si>
    <t>MCP4A-Y000SG-K013-11 — Yellow Double Pole Gas Release MCP (Pertronic)</t>
  </si>
  <si>
    <t>pertronic mcp4a-y000sg-k013-11 yellow double pole gas release mcp</t>
  </si>
  <si>
    <t>KG1</t>
  </si>
  <si>
    <t>KAC Spare Glass</t>
  </si>
  <si>
    <t>KG1 — KAC Spare Glass (Pertronic)</t>
  </si>
  <si>
    <t>pertronic kg1 kac spare glass</t>
  </si>
  <si>
    <t>PS200</t>
  </si>
  <si>
    <t>PS200 Protective Hinged Cover for KAC MCPs</t>
  </si>
  <si>
    <t>PS200 — PS200 Protective Hinged Cover for KAC MCPs (Pertronic)</t>
  </si>
  <si>
    <t>pertronic ps200 ps200 protective hinged cover for kac mcps</t>
  </si>
  <si>
    <t>DSS-PC-I00</t>
  </si>
  <si>
    <t>AA Sounder/Strobe Base c/w isolator — Pure White, AS7240.23</t>
  </si>
  <si>
    <t>DSS-PC-I00 — AA Sounder/Strobe Base c/w isolator — Pure White, AS7240.23 (Pertronic)</t>
  </si>
  <si>
    <t>pertronic dss-pc-i00 aa sounder/strobe base c/w isolator — pure white, as7240.23</t>
  </si>
  <si>
    <t>WSS-PC-I00</t>
  </si>
  <si>
    <t>AA Wall Sounder/Strobe c/w isolator — Pure White, AS7240.23</t>
  </si>
  <si>
    <t>WSS-PC-I00 — AA Wall Sounder/Strobe c/w isolator — Pure White, AS7240.23 (Pertronic)</t>
  </si>
  <si>
    <t>pertronic wss-pc-i00 aa wall sounder/strobe c/w isolator — pure white, as7240.23</t>
  </si>
  <si>
    <t>BSS-DR-N34</t>
  </si>
  <si>
    <t>AA Detector Base Sounder-Strobe Red, White Base, Non-Iso</t>
  </si>
  <si>
    <t>BSS-DR-N34 — AA Detector Base Sounder-Strobe Red, White Base, Non-Iso (Pertronic)</t>
  </si>
  <si>
    <t>pertronic bss-dr-n34 aa detector base sounder-strobe red, white base, non-iso</t>
  </si>
  <si>
    <t>LASS-BSO-NC-W</t>
  </si>
  <si>
    <t>AA Detector Base Sounder — White, Non-Isolation</t>
  </si>
  <si>
    <t>LASS-BSO-NC-W — AA Detector Base Sounder — White, Non-Isolation (Pertronic)</t>
  </si>
  <si>
    <t>pertronic lass-bso-nc-w aa detector base sounder — white, non-isolation</t>
  </si>
  <si>
    <t>LASS-WSO-NC-W</t>
  </si>
  <si>
    <t>AA Wall Sounder — White, Non-Isolation</t>
  </si>
  <si>
    <t>LASS-WSO-NC-W — AA Wall Sounder — White, Non-Isolation (Pertronic)</t>
  </si>
  <si>
    <t>pertronic lass-wso-nc-w aa wall sounder — white, non-isolation</t>
  </si>
  <si>
    <t>LASS-BSS-NC-W</t>
  </si>
  <si>
    <t>LASS-BSS-NC-W — AA Detector Base Sounder-Strobe Red, White Base, Non-Iso (Pertronic)</t>
  </si>
  <si>
    <t>pertronic lass-bss-nc-w aa detector base sounder-strobe red, white base, non-iso</t>
  </si>
  <si>
    <t>LASS-WSS-NC-W</t>
  </si>
  <si>
    <t>AA Wall Sounder-Strobe Red, Non-Iso — White base</t>
  </si>
  <si>
    <t>LASS-WSS-NC-W — AA Wall Sounder-Strobe Red, Non-Iso — White base (Pertronic)</t>
  </si>
  <si>
    <t>pertronic lass-wss-nc-w aa wall sounder-strobe red, non-iso — white base</t>
  </si>
  <si>
    <t>PSB-T3</t>
  </si>
  <si>
    <t>Pertronic AA Sounder Base with AUS T3 Tones</t>
  </si>
  <si>
    <t>PSB-T3 — Pertronic AA Sounder Base with AUS T3 Tones (Pertronic)</t>
  </si>
  <si>
    <t>pertronic psb-t3 pertronic aa sounder base with aus t3 tones</t>
  </si>
  <si>
    <t>WRL-PC-I00</t>
  </si>
  <si>
    <t>Intelligent Wall Mount Strobe EN54-23 — Red flash/White body</t>
  </si>
  <si>
    <t>WRL-PC-I00 — Intelligent Wall Mount Strobe EN54-23 — Red flash/White body (Pertronic)</t>
  </si>
  <si>
    <t>pertronic wrl-pc-i00 intelligent wall mount strobe en54-23 — red flash/white body</t>
  </si>
  <si>
    <t>DVAD-C-24V-2D</t>
  </si>
  <si>
    <t>Dual Red/White Polarity-Reversal VAD 24V Ceiling Mount</t>
  </si>
  <si>
    <t>DVAD-C-24V-2D — Dual Red/White Polarity-Reversal VAD 24V Ceiling Mount (Pertronic)</t>
  </si>
  <si>
    <t>pertronic dvad-c-24v-2d dual red/white polarity-reversal vad 24v ceiling mount</t>
  </si>
  <si>
    <t>DVAD-W-24V-2D</t>
  </si>
  <si>
    <t>Dual Red/White Polarity-Reversal VAD 24V Wall Mount</t>
  </si>
  <si>
    <t>DVAD-W-24V-2D — Dual Red/White Polarity-Reversal VAD 24V Wall Mount (Pertronic)</t>
  </si>
  <si>
    <t>pertronic dvad-w-24v-2d dual red/white polarity-reversal vad 24v wall mount</t>
  </si>
  <si>
    <t>PS1-RT3</t>
  </si>
  <si>
    <t>Conv. Sounder Red with AUS T3 Tones</t>
  </si>
  <si>
    <t>PS1-RT3 — Conv. Sounder Red with AUS T3 Tones (Pertronic)</t>
  </si>
  <si>
    <t>pertronic ps1-rt3 conv. sounder red with aus t3 tones</t>
  </si>
  <si>
    <t>PS1-WT3</t>
  </si>
  <si>
    <t>Conv. Sounder White with AUS T3 Tones</t>
  </si>
  <si>
    <t>PS1-WT3 — Conv. Sounder White with AUS T3 Tones (Pertronic)</t>
  </si>
  <si>
    <t>pertronic ps1-wt3 conv. sounder white with aus t3 tones</t>
  </si>
  <si>
    <t>LX-C-VAD-RBRF</t>
  </si>
  <si>
    <t>Solista LX Ceiling VAD — Red Body, Red Flash, AS7240.23</t>
  </si>
  <si>
    <t>LX-C-VAD-RBRF — Solista LX Ceiling VAD — Red Body, Red Flash, AS7240.23 (Pertronic)</t>
  </si>
  <si>
    <t>pertronic lx-c-vad-rbrf solista lx ceiling vad — red body, red flash, as7240.23</t>
  </si>
  <si>
    <t>LX-C-VAD-RBWF</t>
  </si>
  <si>
    <t>Solista LX Ceiling VAD — Red Body, White Flash</t>
  </si>
  <si>
    <t>LX-C-VAD-RBWF — Solista LX Ceiling VAD — Red Body, White Flash (Pertronic)</t>
  </si>
  <si>
    <t>pertronic lx-c-vad-rbwf solista lx ceiling vad — red body, white flash</t>
  </si>
  <si>
    <t>LX-W-VAD-RBRF</t>
  </si>
  <si>
    <t>Solista LX Wall VAD — Red Body, Red Flash</t>
  </si>
  <si>
    <t>LX-W-VAD-RBRF — Solista LX Wall VAD — Red Body, Red Flash (Pertronic)</t>
  </si>
  <si>
    <t>pertronic lx-w-vad-rbrf solista lx wall vad — red body, red flash</t>
  </si>
  <si>
    <t>CWSS-RR-W5</t>
  </si>
  <si>
    <t>Sounder Beacon Red Body, Red Lens IP65</t>
  </si>
  <si>
    <t>CWSS-RR-W5 — Sounder Beacon Red Body, Red Lens IP65 (Pertronic)</t>
  </si>
  <si>
    <t>pertronic cwss-rr-w5 sounder beacon red body, red lens ip65</t>
  </si>
  <si>
    <t>EA60</t>
  </si>
  <si>
    <t>Evac Amplifier 60W 24VDC — Integral Tones/Messages/VAD O/P</t>
  </si>
  <si>
    <t>EA60 — Evac Amplifier 60W 24VDC — Integral Tones/Messages/VAD O/P (Pertronic)</t>
  </si>
  <si>
    <t>pertronic ea60 evac amplifier 60w 24vdc — integral tones/messages/vad o/p</t>
  </si>
  <si>
    <t>EA60KIT</t>
  </si>
  <si>
    <t>60W Amplifier+Mic kit with White rackplate for ASE</t>
  </si>
  <si>
    <t>EA60KIT — 60W Amplifier+Mic kit with White rackplate for ASE (Pertronic)</t>
  </si>
  <si>
    <t>pertronic ea60kit 60w amplifier+mic kit with white rackplate for ase</t>
  </si>
  <si>
    <t>EA120</t>
  </si>
  <si>
    <t>Evac Amplifier 120W 24VDC — Integral Tones/Messages/VAD O/P</t>
  </si>
  <si>
    <t>EA120 — Evac Amplifier 120W 24VDC — Integral Tones/Messages/VAD O/P (Pertronic)</t>
  </si>
  <si>
    <t>pertronic ea120 evac amplifier 120w 24vdc — integral tones/messages/vad o/p</t>
  </si>
  <si>
    <t>EA120KIT</t>
  </si>
  <si>
    <t>120W Amplifier+Mic kit with White rackplate for ASE</t>
  </si>
  <si>
    <t>EA120KIT — 120W Amplifier+Mic kit with White rackplate for ASE (Pertronic)</t>
  </si>
  <si>
    <t>pertronic ea120kit 120w amplifier+mic kit with white rackplate for ase</t>
  </si>
  <si>
    <t>C2270</t>
  </si>
  <si>
    <t>Speaker 100mm 4" 100V 6W Metal Grille Ceiling AS ISO7240.24</t>
  </si>
  <si>
    <t>C2270 — Speaker 100mm 4" 100V 6W Metal Grille Ceiling AS ISO7240.24 (Pertronic)</t>
  </si>
  <si>
    <t>pertronic c2270 speaker 100mm 4" 100v 6w metal grille ceiling as iso7240.24</t>
  </si>
  <si>
    <t>CF2050G</t>
  </si>
  <si>
    <t>10W 100V EWIS IP66 Fire PA Horn Speaker Grey AS ISO7240.24</t>
  </si>
  <si>
    <t>CF2050G — 10W 100V EWIS IP66 Fire PA Horn Speaker Grey AS ISO7240.24 (Pertronic)</t>
  </si>
  <si>
    <t>pertronic cf2050g 10w 100v ewis ip66 fire pa horn speaker grey as iso7240.24</t>
  </si>
  <si>
    <t>CF2142</t>
  </si>
  <si>
    <t>200mm 100V 15W Ceiling EWIS Speaker White Grille AS7240</t>
  </si>
  <si>
    <t>CF2142 — 200mm 100V 15W Ceiling EWIS Speaker White Grille AS7240 (Pertronic)</t>
  </si>
  <si>
    <t>pertronic cf2142 200mm 100v 15w ceiling ewis speaker white grille as7240</t>
  </si>
  <si>
    <t>L-VCP06D-W</t>
  </si>
  <si>
    <t>4" Ceiling Loudspeaker 6/3/1.5W White AS7240</t>
  </si>
  <si>
    <t>L-VCP06D-W — 4" Ceiling Loudspeaker 6/3/1.5W White AS7240 (Pertronic)</t>
  </si>
  <si>
    <t>pertronic l-vcp06d-w 4" ceiling loudspeaker 6/3/1.5w white as7240</t>
  </si>
  <si>
    <t>L-VJP15A/EN-W</t>
  </si>
  <si>
    <t>15W Unidirectional Projection Loudspeaker White AS ISO7240.24</t>
  </si>
  <si>
    <t>L-VJP15A/EN-W — 15W Unidirectional Projection Loudspeaker White AS ISO7240.24 (Pertronic)</t>
  </si>
  <si>
    <t>pertronic l-vjp15a/en-w 15w unidirectional projection loudspeaker white as iso7240.24</t>
  </si>
  <si>
    <t>C0703</t>
  </si>
  <si>
    <t>100mm Surface Mount One-Shot Speaker — White</t>
  </si>
  <si>
    <t>C0703 — 100mm Surface Mount One-Shot Speaker — White (Pertronic)</t>
  </si>
  <si>
    <t>pertronic c0703 100mm surface mount one-shot speaker — white</t>
  </si>
  <si>
    <t>FDHW/F175-24V</t>
  </si>
  <si>
    <t>Fire Door Holder Wall/Floor mount 150/175mm 24VDC 40Kgf</t>
  </si>
  <si>
    <t>FDHW/F175-24V — Fire Door Holder Wall/Floor mount 150/175mm 24VDC 40Kgf (Pertronic)</t>
  </si>
  <si>
    <t>pertronic fdhw/f175-24v fire door holder wall/floor mount 150/175mm 24vdc 40kgf</t>
  </si>
  <si>
    <t>FDHWM38-24V</t>
  </si>
  <si>
    <t>Fire Door Holder Wall mount Slim 38mm 24VDC 40Kgf</t>
  </si>
  <si>
    <t>FDHWM38-24V — Fire Door Holder Wall mount Slim 38mm 24VDC 40Kgf (Pertronic)</t>
  </si>
  <si>
    <t>pertronic fdhwm38-24v fire door holder wall mount slim 38mm 24vdc 40kgf</t>
  </si>
  <si>
    <t>FDHWM65-24V</t>
  </si>
  <si>
    <t>Fire Door Holder Wall mount Extended 65mm 24VDC 40Kgf</t>
  </si>
  <si>
    <t>FDHWM65-24V — Fire Door Holder Wall mount Extended 65mm 24VDC 40Kgf (Pertronic)</t>
  </si>
  <si>
    <t>pertronic fdhwm65-24v fire door holder wall mount extended 65mm 24vdc 40kgf</t>
  </si>
  <si>
    <t>A1350</t>
  </si>
  <si>
    <t>EM Door Release c/w Anvil 24VDC 25–50kg</t>
  </si>
  <si>
    <t>A1350 — EM Door Release c/w Anvil 24VDC 25–50kg (Pertronic)</t>
  </si>
  <si>
    <t>pertronic a1350 em door release c/w anvil 24vdc 25–50kg</t>
  </si>
  <si>
    <t>A1360</t>
  </si>
  <si>
    <t>EM Door Release c/w Anvil 24VDC 50–100kg</t>
  </si>
  <si>
    <t>A1360 — EM Door Release c/w Anvil 24VDC 50–100kg (Pertronic)</t>
  </si>
  <si>
    <t>pertronic a1360 em door release c/w anvil 24vdc 50–100kg</t>
  </si>
  <si>
    <t>ETS-M</t>
  </si>
  <si>
    <t>Emergency Telephone System Master</t>
  </si>
  <si>
    <t>ETS-M — Emergency Telephone System Master (Pertronic)</t>
  </si>
  <si>
    <t>pertronic ets-m emergency telephone system master</t>
  </si>
  <si>
    <t>ETS-IJP</t>
  </si>
  <si>
    <t>Emergency Telephone System Isolating Jack Point</t>
  </si>
  <si>
    <t>ETS-IJP — Emergency Telephone System Isolating Jack Point (Pertronic)</t>
  </si>
  <si>
    <t>pertronic ets-ijp emergency telephone system isolating jack point</t>
  </si>
  <si>
    <t>ETS-PH</t>
  </si>
  <si>
    <t>Emergency Telephone System Portable Handset</t>
  </si>
  <si>
    <t>ETS-PH — Emergency Telephone System Portable Handset (Pertronic)</t>
  </si>
  <si>
    <t>pertronic ets-ph emergency telephone system portable handset</t>
  </si>
  <si>
    <t>SSM24-6</t>
  </si>
  <si>
    <t>Alarm Bell 6" 24VDC with Blocking Diode</t>
  </si>
  <si>
    <t>SSM24-6 — Alarm Bell 6" 24VDC with Blocking Diode (Pertronic)</t>
  </si>
  <si>
    <t>pertronic ssm24-6 alarm bell 6" 24vdc with blocking diode</t>
  </si>
  <si>
    <t>SSM24-8</t>
  </si>
  <si>
    <t>Alarm Bell 8" 24VDC with Blocking Diode</t>
  </si>
  <si>
    <t>SSM24-8 — Alarm Bell 8" 24VDC with Blocking Diode (Pertronic)</t>
  </si>
  <si>
    <t>pertronic ssm24-8 alarm bell 8" 24vdc with blocking diode</t>
  </si>
  <si>
    <t>VLF-250-02</t>
  </si>
  <si>
    <t>VESDA LaserFOCUS 250</t>
  </si>
  <si>
    <t>VLF-250-02 — VESDA LaserFOCUS 250 (Pertronic)</t>
  </si>
  <si>
    <t>pertronic vlf-250-02 vesda laserfocus 250</t>
  </si>
  <si>
    <t>VLF-500-02</t>
  </si>
  <si>
    <t>VESDA LaserFOCUS 500</t>
  </si>
  <si>
    <t>VLF-500-02 — VESDA LaserFOCUS 500 (Pertronic)</t>
  </si>
  <si>
    <t>pertronic vlf-500-02 vesda laserfocus 500</t>
  </si>
  <si>
    <t>VEP-A00-1P</t>
  </si>
  <si>
    <t>VESDA-E VEP with LEDs, 1 Pipe</t>
  </si>
  <si>
    <t>VEP-A00-1P — VESDA-E VEP with LEDs, 1 Pipe (Pertronic)</t>
  </si>
  <si>
    <t>pertronic vep-a00-1p vesda-e vep with leds, 1 pipe</t>
  </si>
  <si>
    <t>VEP-A00-P</t>
  </si>
  <si>
    <t>VESDA-E VEP with LEDs, Plastic Enclosure 4 Pipe</t>
  </si>
  <si>
    <t>VEP-A00-P — VESDA-E VEP with LEDs, Plastic Enclosure 4 Pipe (Pertronic)</t>
  </si>
  <si>
    <t>pertronic vep-a00-p vesda-e vep with leds, plastic enclosure 4 pipe</t>
  </si>
  <si>
    <t>VEP-A10-P</t>
  </si>
  <si>
    <t>VESDA-E VEP with 3.5" LCD Display, 4 Pipe</t>
  </si>
  <si>
    <t>VEP-A10-P — VESDA-E VEP with 3.5" LCD Display, 4 Pipe (Pertronic)</t>
  </si>
  <si>
    <t>pertronic vep-a10-p vesda-e vep with 3.5" lcd display, 4 pipe</t>
  </si>
  <si>
    <t>VEU-A00</t>
  </si>
  <si>
    <t>VESDA-E VEU with LEDs</t>
  </si>
  <si>
    <t>VEU-A00 — VESDA-E VEU with LEDs (Pertronic)</t>
  </si>
  <si>
    <t>pertronic veu-a00 vesda-e veu with leds</t>
  </si>
  <si>
    <t>VEU-A10</t>
  </si>
  <si>
    <t>VESDA-E VEU with 3.5" Display</t>
  </si>
  <si>
    <t>VEU-A10 — VESDA-E VEU with 3.5" Display (Pertronic)</t>
  </si>
  <si>
    <t>pertronic veu-a10 vesda-e veu with 3.5" display</t>
  </si>
  <si>
    <t>VES-A00-P</t>
  </si>
  <si>
    <t>VESDA-E Scanner with LED Display</t>
  </si>
  <si>
    <t>VES-A00-P — VESDA-E Scanner with LED Display (Pertronic)</t>
  </si>
  <si>
    <t>pertronic ves-a00-p vesda-e scanner with led display</t>
  </si>
  <si>
    <t>VES-A10-P</t>
  </si>
  <si>
    <t>VESDA-E Scanner with 3.5" LCD Display</t>
  </si>
  <si>
    <t>VES-A10-P — VESDA-E Scanner with 3.5" LCD Display (Pertronic)</t>
  </si>
  <si>
    <t>pertronic ves-a10-p vesda-e scanner with 3.5" lcd display</t>
  </si>
  <si>
    <t>VLI-880</t>
  </si>
  <si>
    <t>VESDA Laser Industrial VLI-880</t>
  </si>
  <si>
    <t>VLI-880 — VESDA Laser Industrial VLI-880 (Pertronic)</t>
  </si>
  <si>
    <t>pertronic vli-880 vesda laser industrial vli-880</t>
  </si>
  <si>
    <t>VLI-885</t>
  </si>
  <si>
    <t>VESDA VLI with VESDAnet</t>
  </si>
  <si>
    <t>VLI-885 — VESDA VLI with VESDAnet (Pertronic)</t>
  </si>
  <si>
    <t>pertronic vli-885 vesda vli with vesdanet</t>
  </si>
  <si>
    <t>VHX-0200</t>
  </si>
  <si>
    <t>HLI VESDAnet PC High Level Interface</t>
  </si>
  <si>
    <t>VHX-0200 — HLI VESDAnet PC High Level Interface (Pertronic)</t>
  </si>
  <si>
    <t>pertronic vhx-0200 hli vesdanet pc high level interface</t>
  </si>
  <si>
    <t>VSP-005</t>
  </si>
  <si>
    <t>Filter Assembly for VLF/VLC/VLP/VLS</t>
  </si>
  <si>
    <t>VSP-005 — Filter Assembly for VLF/VLC/VLP/VLS (Pertronic)</t>
  </si>
  <si>
    <t>pertronic vsp-005 filter assembly for vlf/vlc/vlp/vls</t>
  </si>
  <si>
    <t>VSP-962</t>
  </si>
  <si>
    <t>Filter to Suit VESDA-E (1 pc)</t>
  </si>
  <si>
    <t>VSP-962 — Filter to Suit VESDA-E (1 pc) (Pertronic)</t>
  </si>
  <si>
    <t>pertronic vsp-962 filter to suit vesda-e (1 pc)</t>
  </si>
  <si>
    <t>VSP-860</t>
  </si>
  <si>
    <t>VESDA Freezer Room Sample Point Kit (Complete)</t>
  </si>
  <si>
    <t>VSP-860 — VESDA Freezer Room Sample Point Kit (Complete) (Pertronic)</t>
  </si>
  <si>
    <t>pertronic vsp-860 vesda freezer room sample point kit (complete)</t>
  </si>
  <si>
    <t>VIC-010</t>
  </si>
  <si>
    <t>VESDAnet Interface (VN) Card</t>
  </si>
  <si>
    <t>VIC-010 — VESDAnet Interface (VN) Card (Pertronic)</t>
  </si>
  <si>
    <t>pertronic vic-010 vesdanet interface (vn) card</t>
  </si>
  <si>
    <t>VIC-020</t>
  </si>
  <si>
    <t>Multi-Function Control Card (MCC)</t>
  </si>
  <si>
    <t>VIC-020 — Multi-Function Control Card (MCC) (Pertronic)</t>
  </si>
  <si>
    <t>pertronic vic-020 multi-function control card (mcc)</t>
  </si>
  <si>
    <t>FL2011EI-HS</t>
  </si>
  <si>
    <t>FAAST-LT Intelligent Single Channel ASD — System Sensor</t>
  </si>
  <si>
    <t>FL2011EI-HS — FAAST-LT Intelligent Single Channel ASD — System Sensor (Pertronic)</t>
  </si>
  <si>
    <t>pertronic fl2011ei-hs faast-lt intelligent single channel asd — system sensor</t>
  </si>
  <si>
    <t>FL2012EI-HS</t>
  </si>
  <si>
    <t>FAAST-LT Intelligent Single Channel 2-Detector ASD</t>
  </si>
  <si>
    <t>FL2012EI-HS — FAAST-LT Intelligent Single Channel 2-Detector ASD (Pertronic)</t>
  </si>
  <si>
    <t>pertronic fl2012ei-hs faast-lt intelligent single channel 2-detector asd</t>
  </si>
  <si>
    <t>FL2022EI-HS</t>
  </si>
  <si>
    <t>FAAST-LT Intelligent Dual Channel 2-Detector ASD</t>
  </si>
  <si>
    <t>FL2022EI-HS — FAAST-LT Intelligent Dual Channel 2-Detector ASD (Pertronic)</t>
  </si>
  <si>
    <t>pertronic fl2022ei-hs faast-lt intelligent dual channel 2-detector asd</t>
  </si>
  <si>
    <t>FLX-010</t>
  </si>
  <si>
    <t>FAAST Flex 1-Pipe Stand-Alone</t>
  </si>
  <si>
    <t>FLX-010 — FAAST Flex 1-Pipe Stand-Alone (Pertronic)</t>
  </si>
  <si>
    <t>pertronic flx-010 faast flex 1-pipe stand-alone</t>
  </si>
  <si>
    <t>FLX-020</t>
  </si>
  <si>
    <t>FAAST Flex 2-Pipe Stand-Alone</t>
  </si>
  <si>
    <t>FLX-020 — FAAST Flex 2-Pipe Stand-Alone (Pertronic)</t>
  </si>
  <si>
    <t>pertronic flx-020 faast flex 2-pipe stand-alone</t>
  </si>
  <si>
    <t>FAAST-PIPEW</t>
  </si>
  <si>
    <t>FAAST Aspirating Pipe 4m (25mm Dia.) White uPVC</t>
  </si>
  <si>
    <t>FAAST-PIPEW — FAAST Aspirating Pipe 4m (25mm Dia.) White uPVC (Pertronic)</t>
  </si>
  <si>
    <t>pertronic faast-pipew faast aspirating pipe 4m (25mm dia.) white upvc</t>
  </si>
  <si>
    <t>FAAST-FILTERLT</t>
  </si>
  <si>
    <t>FAAST LT Integral Filter — 6 Pack</t>
  </si>
  <si>
    <t>FAAST-FILTERLT — FAAST LT Integral Filter — 6 Pack (Pertronic)</t>
  </si>
  <si>
    <t>pertronic faast-filterlt faast lt integral filter — 6 pack</t>
  </si>
  <si>
    <t>FAAST-FILTERLT-1</t>
  </si>
  <si>
    <t>FAAST LT Integral Filter — 1 Pack</t>
  </si>
  <si>
    <t>FAAST-FILTERLT-1 — FAAST LT Integral Filter — 1 Pack (Pertronic)</t>
  </si>
  <si>
    <t>pertronic faast-filterlt-1 faast lt integral filter — 1 pack</t>
  </si>
  <si>
    <t>OSI-10</t>
  </si>
  <si>
    <t>OSID Imager 7° HFOV, Range 30–150m 24VDC</t>
  </si>
  <si>
    <t>OSI-10 — OSID Imager 7° HFOV, Range 30–150m 24VDC (Pertronic)</t>
  </si>
  <si>
    <t>pertronic osi-10 osid imager 7° hfov, range 30–150m 24vdc</t>
  </si>
  <si>
    <t>OSI-90</t>
  </si>
  <si>
    <t>OSID Imager 80° HFOV, Range 6–50m 24VDC</t>
  </si>
  <si>
    <t>OSI-90 — OSID Imager 80° HFOV, Range 6–50m 24VDC (Pertronic)</t>
  </si>
  <si>
    <t>pertronic osi-90 osid imager 80° hfov, range 6–50m 24vdc</t>
  </si>
  <si>
    <t>OSE-SPW</t>
  </si>
  <si>
    <t>OSID Emitter Standard Power, Wired 24VDC</t>
  </si>
  <si>
    <t>OSE-SPW — OSID Emitter Standard Power, Wired 24VDC (Pertronic)</t>
  </si>
  <si>
    <t>pertronic ose-spw osid emitter standard power, wired 24vdc</t>
  </si>
  <si>
    <t>OSE-HPW</t>
  </si>
  <si>
    <t>OSID Emitter High Power, Wired 24VDC</t>
  </si>
  <si>
    <t>OSE-HPW — OSID Emitter High Power, Wired 24VDC (Pertronic)</t>
  </si>
  <si>
    <t>pertronic ose-hpw osid emitter high power, wired 24vdc</t>
  </si>
  <si>
    <t>OSID-INST</t>
  </si>
  <si>
    <t>OSID Installation Kit (laser tool, test filter, PC cable)</t>
  </si>
  <si>
    <t>OSID-INST — OSID Installation Kit (laser tool, test filter, PC cable) (Pertronic)</t>
  </si>
  <si>
    <t>pertronic osid-inst osid installation kit (laser tool, test filter, pc cable)</t>
  </si>
  <si>
    <t>ARC2</t>
  </si>
  <si>
    <t>Agent Release Controller AS4214:2018</t>
  </si>
  <si>
    <t>ARC2 — Agent Release Controller AS4214:2018 (Pertronic)</t>
  </si>
  <si>
    <t>pertronic arc2 agent release controller as4214:2018</t>
  </si>
  <si>
    <t>ARC2-CC</t>
  </si>
  <si>
    <t>Agent Release Controller AS4214:2018 — Conformal Coating</t>
  </si>
  <si>
    <t>ARC2-CC — Agent Release Controller AS4214:2018 — Conformal Coating (Pertronic)</t>
  </si>
  <si>
    <t>pertronic arc2-cc agent release controller as4214:2018 — conformal coating</t>
  </si>
  <si>
    <t>ACS2-FM</t>
  </si>
  <si>
    <t>Agent Control Station Flush Mount AS4214:2018</t>
  </si>
  <si>
    <t>ACS2-FM — Agent Control Station Flush Mount AS4214:2018 (Pertronic)</t>
  </si>
  <si>
    <t>pertronic acs2-fm agent control station flush mount as4214:2018</t>
  </si>
  <si>
    <t>ACS2-SM</t>
  </si>
  <si>
    <t>Agent Control Station Surface Mount AS4214:2018</t>
  </si>
  <si>
    <t>ACS2-SM — Agent Control Station Surface Mount AS4214:2018 (Pertronic)</t>
  </si>
  <si>
    <t>pertronic acs2-sm agent control station surface mount as4214:2018</t>
  </si>
  <si>
    <t>LCS2-FM</t>
  </si>
  <si>
    <t>Local Control Station Flush Mount AS4214:2018</t>
  </si>
  <si>
    <t>LCS2-FM — Local Control Station Flush Mount AS4214:2018 (Pertronic)</t>
  </si>
  <si>
    <t>pertronic lcs2-fm local control station flush mount as4214:2018</t>
  </si>
  <si>
    <t>LCS2-SM</t>
  </si>
  <si>
    <t>Local Control Station Surface Mount AS4214:2018</t>
  </si>
  <si>
    <t>LCS2-SM — Local Control Station Surface Mount AS4214:2018 (Pertronic)</t>
  </si>
  <si>
    <t>pertronic lcs2-sm local control station surface mount as4214:2018</t>
  </si>
  <si>
    <t>AVS-C</t>
  </si>
  <si>
    <t>Audio Visual Sign c/w Countdown Timer (requires fascia)</t>
  </si>
  <si>
    <t>AVS-C — Audio Visual Sign c/w Countdown Timer (requires fascia) (Pertronic)</t>
  </si>
  <si>
    <t>pertronic avs-c audio visual sign c/w countdown timer (requires fascia)</t>
  </si>
  <si>
    <t>AVS-B</t>
  </si>
  <si>
    <t>Audio Visual Sign (requires separate fascia)</t>
  </si>
  <si>
    <t>AVS-B — Audio Visual Sign (requires separate fascia) (Pertronic)</t>
  </si>
  <si>
    <t>pertronic avs-b audio visual sign (requires separate fascia)</t>
  </si>
  <si>
    <t>AVS-WP</t>
  </si>
  <si>
    <t>Audio Visual Sign IP66 Weatherproof, no sounder</t>
  </si>
  <si>
    <t>AVS-WP — Audio Visual Sign IP66 Weatherproof, no sounder (Pertronic)</t>
  </si>
  <si>
    <t>pertronic avs-wp audio visual sign ip66 weatherproof, no sounder</t>
  </si>
  <si>
    <t>AVS-C-WP+S</t>
  </si>
  <si>
    <t>AV Sign Weatherproof c/w Countdown Timer &amp; Sounder</t>
  </si>
  <si>
    <t>AVS-C-WP+S — AV Sign Weatherproof c/w Countdown Timer &amp; Sounder (Pertronic)</t>
  </si>
  <si>
    <t>pertronic avs-c-wp+s av sign weatherproof c/w countdown timer &amp; sounder</t>
  </si>
  <si>
    <t>24/5PSUV2-7240</t>
  </si>
  <si>
    <t>24V 5A Monitored PSU (AS7240.4)</t>
  </si>
  <si>
    <t>24/5PSUV2-7240 — 24V 5A Monitored PSU (AS7240.4) (Pertronic)</t>
  </si>
  <si>
    <t>pertronic 24/5psuv2-7240 24v 5a monitored psu (as7240.4)</t>
  </si>
  <si>
    <t>24/11PSUV2-7240</t>
  </si>
  <si>
    <t>24V 11A Monitored PSU (AS7240.4)</t>
  </si>
  <si>
    <t>24/11PSUV2-7240 — 24V 11A Monitored PSU (AS7240.4) (Pertronic)</t>
  </si>
  <si>
    <t>pertronic 24/11psuv2-7240 24v 11a monitored psu (as7240.4)</t>
  </si>
  <si>
    <t>24/22PSUV2-7240</t>
  </si>
  <si>
    <t>24V 22A Monitored PSU (AS7240.4)</t>
  </si>
  <si>
    <t>24/22PSUV2-7240 — 24V 22A Monitored PSU (AS7240.4) (Pertronic)</t>
  </si>
  <si>
    <t>pertronic 24/22psuv2-7240 24v 22a monitored psu (as7240.4)</t>
  </si>
  <si>
    <t>24-1.5SWMPS</t>
  </si>
  <si>
    <t>24V 1.5A Switch Mode Power Supply</t>
  </si>
  <si>
    <t>24-1.5SWMPS — 24V 1.5A Switch Mode Power Supply (Pertronic)</t>
  </si>
  <si>
    <t>pertronic 24-1.5swmps 24v 1.5a switch mode power supply</t>
  </si>
  <si>
    <t>AUX24/5PSU-7240</t>
  </si>
  <si>
    <t>24V 5A Monitored PSU in BATCAB-550 &amp; 003 Camlock</t>
  </si>
  <si>
    <t>AUX24/5PSU-7240 — 24V 5A Monitored PSU in BATCAB-550 &amp; 003 Camlock (Pertronic)</t>
  </si>
  <si>
    <t>pertronic aux24/5psu-7240 24v 5a monitored psu in batcab-550 &amp; 003 camlock</t>
  </si>
  <si>
    <t>AUX24/11PSU-7240</t>
  </si>
  <si>
    <t>24V 11A Monitored PSU in BATCAB-550 &amp; 003 Camlock</t>
  </si>
  <si>
    <t>AUX24/11PSU-7240 — 24V 11A Monitored PSU in BATCAB-550 &amp; 003 Camlock (Pertronic)</t>
  </si>
  <si>
    <t>pertronic aux24/11psu-7240 24v 11a monitored psu in batcab-550 &amp; 003 camlock</t>
  </si>
  <si>
    <t>AUX24/22PSU-7240</t>
  </si>
  <si>
    <t>24V 22A Monitored PSU in BATCAB-575L &amp; 003 Camlock</t>
  </si>
  <si>
    <t>AUX24/22PSU-7240 — 24V 22A Monitored PSU in BATCAB-575L &amp; 003 Camlock (Pertronic)</t>
  </si>
  <si>
    <t>pertronic aux24/22psu-7240 24v 22a monitored psu in batcab-575l &amp; 003 camlock</t>
  </si>
  <si>
    <t>12V7AH</t>
  </si>
  <si>
    <t>Battery 12V 7AH</t>
  </si>
  <si>
    <t>12V7AH — Battery 12V 7AH (Pertronic)</t>
  </si>
  <si>
    <t>pertronic 12v7ah battery 12v 7ah</t>
  </si>
  <si>
    <t>12V12AH</t>
  </si>
  <si>
    <t>Battery 12V 12AH</t>
  </si>
  <si>
    <t>12V12AH — Battery 12V 12AH (Pertronic)</t>
  </si>
  <si>
    <t>pertronic 12v12ah battery 12v 12ah</t>
  </si>
  <si>
    <t>12V15AH</t>
  </si>
  <si>
    <t>Battery 12V 15AH</t>
  </si>
  <si>
    <t>12V15AH — Battery 12V 15AH (Pertronic)</t>
  </si>
  <si>
    <t>pertronic 12v15ah battery 12v 15ah</t>
  </si>
  <si>
    <t>12V18AH</t>
  </si>
  <si>
    <t>Battery 12V 18AH</t>
  </si>
  <si>
    <t>12V18AH — Battery 12V 18AH (Pertronic)</t>
  </si>
  <si>
    <t>pertronic 12v18ah battery 12v 18ah</t>
  </si>
  <si>
    <t>12V22AH</t>
  </si>
  <si>
    <t>Battery 12V 22AH</t>
  </si>
  <si>
    <t>12V22AH — Battery 12V 22AH (Pertronic)</t>
  </si>
  <si>
    <t>pertronic 12v22ah battery 12v 22ah</t>
  </si>
  <si>
    <t>12V26AH</t>
  </si>
  <si>
    <t>Battery 12V 26AH</t>
  </si>
  <si>
    <t>12V26AH — Battery 12V 26AH (Pertronic)</t>
  </si>
  <si>
    <t>pertronic 12v26ah battery 12v 26ah</t>
  </si>
  <si>
    <t>12V33AH</t>
  </si>
  <si>
    <t>Battery 12V 33AH</t>
  </si>
  <si>
    <t>12V33AH — Battery 12V 33AH (Pertronic)</t>
  </si>
  <si>
    <t>pertronic 12v33ah battery 12v 33ah</t>
  </si>
  <si>
    <t>12V40AH</t>
  </si>
  <si>
    <t>Battery 12V 40AH</t>
  </si>
  <si>
    <t>12V40AH — Battery 12V 40AH (Pertronic)</t>
  </si>
  <si>
    <t>pertronic 12v40ah battery 12v 40ah</t>
  </si>
  <si>
    <t>12V55AH</t>
  </si>
  <si>
    <t>Battery 12V 55AH</t>
  </si>
  <si>
    <t>12V55AH — Battery 12V 55AH (Pertronic)</t>
  </si>
  <si>
    <t>pertronic 12v55ah battery 12v 55ah</t>
  </si>
  <si>
    <t>12V75AH</t>
  </si>
  <si>
    <t>Battery 12V 75AH</t>
  </si>
  <si>
    <t>12V75AH — Battery 12V 75AH (Pertronic)</t>
  </si>
  <si>
    <t>pertronic 12v75ah battery 12v 75ah</t>
  </si>
  <si>
    <t>BATCAB-550</t>
  </si>
  <si>
    <t>Battery Cabinet 550W x 350H x 185D (suits 10U/13U)</t>
  </si>
  <si>
    <t>BATCAB-550 — Battery Cabinet 550W x 350H x 185D (suits 10U/13U) (Pertronic)</t>
  </si>
  <si>
    <t>pertronic batcab-550 battery cabinet 550w x 350h x 185d (suits 10u/13u)</t>
  </si>
  <si>
    <t>BATCAB-575</t>
  </si>
  <si>
    <t>Battery Cabinet 575W x 350H x 185D (suits 16U–40U)</t>
  </si>
  <si>
    <t>BATCAB-575 — Battery Cabinet 575W x 350H x 185D (suits 16U–40U) (Pertronic)</t>
  </si>
  <si>
    <t>pertronic batcab-575 battery cabinet 575w x 350h x 185d (suits 16u–40u)</t>
  </si>
  <si>
    <t>BATCAB-575L</t>
  </si>
  <si>
    <t>Battery Cabinet 575W x 570H x 300D (suits 16U–40U)</t>
  </si>
  <si>
    <t>BATCAB-575L — Battery Cabinet 575W x 570H x 300D (suits 16U–40U) (Pertronic)</t>
  </si>
  <si>
    <t>pertronic batcab-575l battery cabinet 575w x 570h x 300d (suits 16u–40u)</t>
  </si>
  <si>
    <t>F220MASTAUS</t>
  </si>
  <si>
    <t>F220 Masterboard (AUS) SMD</t>
  </si>
  <si>
    <t>F220MASTAUS — F220 Masterboard (AUS) SMD (Pertronic)</t>
  </si>
  <si>
    <t>pertronic f220mastaus f220 masterboard (aus) smd</t>
  </si>
  <si>
    <t>F220KEYBOARD-AUS</t>
  </si>
  <si>
    <t>F220 Keyboard with Overlay AUS Version</t>
  </si>
  <si>
    <t>F220KEYBOARD-AUS — F220 Keyboard with Overlay AUS Version (Pertronic)</t>
  </si>
  <si>
    <t>pertronic f220keyboard-aus f220 keyboard with overlay aus version</t>
  </si>
  <si>
    <t>F100M-256AUS</t>
  </si>
  <si>
    <t>F100A Masterboard AUS 256 Micro</t>
  </si>
  <si>
    <t>F100M-256AUS — F100A Masterboard AUS 256 Micro (Pertronic)</t>
  </si>
  <si>
    <t>pertronic f100m-256aus f100a masterboard aus 256 micro</t>
  </si>
  <si>
    <t>EVAC50W24V-A</t>
  </si>
  <si>
    <t>EVAC Amplifier 50W 24V with Integral Tone and Message</t>
  </si>
  <si>
    <t>EVAC50W24V-A — EVAC Amplifier 50W 24V with Integral Tone and Message (Pertronic)</t>
  </si>
  <si>
    <t>pertronic evac50w24v-a evac amplifier 50w 24v with integral tone and message</t>
  </si>
  <si>
    <t>PIC-DMK</t>
  </si>
  <si>
    <t>Pertronic In-Ceiling Detector Mounting Kit</t>
  </si>
  <si>
    <t>PIC-DMK — Pertronic In-Ceiling Detector Mounting Kit (Pertronic)</t>
  </si>
  <si>
    <t>pertronic pic-dmk pertronic in-ceiling detector mounting kit</t>
  </si>
  <si>
    <t>DETWGS</t>
  </si>
  <si>
    <t>Smoke Detector Wire Guard 120D x 90H</t>
  </si>
  <si>
    <t>DETWGS — Smoke Detector Wire Guard 120D x 90H (Pertronic)</t>
  </si>
  <si>
    <t>pertronic detwgs smoke detector wire guard 120d x 90h</t>
  </si>
  <si>
    <t>SMOKEPEN</t>
  </si>
  <si>
    <t>Smoke Pen 6-Stick Kit (Code 80000)</t>
  </si>
  <si>
    <t>SMOKEPEN — Smoke Pen 6-Stick Kit (Code 80000) (Pertronic)</t>
  </si>
  <si>
    <t>pertronic smokepen smoke pen 6-stick kit (code 80000)</t>
  </si>
  <si>
    <t>T3101</t>
  </si>
  <si>
    <t>Canned Smoke for Testing Fire Alarm Detectors</t>
  </si>
  <si>
    <t>T3101 — Canned Smoke for Testing Fire Alarm Detectors (Pertronic)</t>
  </si>
  <si>
    <t>pertronic t3101 canned smoke for testing fire alarm detectors</t>
  </si>
  <si>
    <t>T3102</t>
  </si>
  <si>
    <t>Smoke Can — Sabre 150ml</t>
  </si>
  <si>
    <t>T3102 — Smoke Can — Sabre 150ml (Pertronic)</t>
  </si>
  <si>
    <t>pertronic t3102 smoke can — sabre 150ml</t>
  </si>
  <si>
    <t>T1000E 60C</t>
  </si>
  <si>
    <t>Model 1000E Thermal Probe — 60°C (incl. 20mm locknut)</t>
  </si>
  <si>
    <t>T1000E 60C — Model 1000E Thermal Probe — 60°C (incl. 20mm locknut) (Pertronic)</t>
  </si>
  <si>
    <t>pertronic t1000e 60c model 1000e thermal probe — 60°c (incl. 20mm locknut)</t>
  </si>
  <si>
    <t>T1000E 90C</t>
  </si>
  <si>
    <t>Model 1000E Thermal Probe — 90°C (incl. 20mm locknut)</t>
  </si>
  <si>
    <t>T1000E 90C — Model 1000E Thermal Probe — 90°C (incl. 20mm locknut) (Pertronic)</t>
  </si>
  <si>
    <t>pertronic t1000e 90c model 1000e thermal probe — 90°c (incl. 20mm locknut)</t>
  </si>
  <si>
    <t>T1000E 120C</t>
  </si>
  <si>
    <t>Model 1000E Thermal Probe — 120°C (incl. 20mm locknut)</t>
  </si>
  <si>
    <t>T1000E 120C — Model 1000E Thermal Probe — 120°C (incl. 20mm locknut) (Pertronic)</t>
  </si>
  <si>
    <t>pertronic t1000e 120c model 1000e thermal probe — 120°c (incl. 20mm locknut)</t>
  </si>
  <si>
    <t>T1000E 150C</t>
  </si>
  <si>
    <t>Model 1000E Thermal Probe — 150°C (incl. 20mm locknut)</t>
  </si>
  <si>
    <t>T1000E 150C — Model 1000E Thermal Probe — 150°C (incl. 20mm locknut) (Pertronic)</t>
  </si>
  <si>
    <t>pertronic t1000e 150c model 1000e thermal probe — 150°c (incl. 20mm locknut)</t>
  </si>
  <si>
    <t>T1000E 180C</t>
  </si>
  <si>
    <t>Model 1000E Thermal Probe — 180°C (incl. 20mm locknut)</t>
  </si>
  <si>
    <t>T1000E 180C — Model 1000E Thermal Probe — 180°C (incl. 20mm locknut) (Pertronic)</t>
  </si>
  <si>
    <t>pertronic t1000e 180c model 1000e thermal probe — 180°c (incl. 20mm locknut)</t>
  </si>
  <si>
    <t>Fusion Fire</t>
  </si>
  <si>
    <t>MXS-504</t>
  </si>
  <si>
    <t>AU-5000 Spare Display Card</t>
  </si>
  <si>
    <t>MXS-504 — AU-5000 Spare Display Card (Fusion Fire)</t>
  </si>
  <si>
    <t>fusion fire mxs-504 au-5000 spare display card</t>
  </si>
  <si>
    <t>MXS-501V</t>
  </si>
  <si>
    <t>AU-5000 Spare Single Loop Base Card c/w PSU</t>
  </si>
  <si>
    <t>MXS-501V — AU-5000 Spare Single Loop Base Card c/w PSU (Fusion Fire)</t>
  </si>
  <si>
    <t>fusion fire mxs-501v au-5000 spare single loop base card c/w psu</t>
  </si>
  <si>
    <t>MXS-502V</t>
  </si>
  <si>
    <t>AU-5000 Spare Two Loop Base Card c/w PSU</t>
  </si>
  <si>
    <t>MXS-502V — AU-5000 Spare Two Loop Base Card c/w PSU (Fusion Fire)</t>
  </si>
  <si>
    <t>fusion fire mxs-502v au-5000 spare two loop base card c/w psu</t>
  </si>
  <si>
    <t>MXS-503V</t>
  </si>
  <si>
    <t>AU-5000 Spare Four Loop Base Card c/w PSU</t>
  </si>
  <si>
    <t>MXS-503V — AU-5000 Spare Four Loop Base Card c/w PSU (Fusion Fire)</t>
  </si>
  <si>
    <t>fusion fire mxs-503v au-5000 spare four loop base card c/w psu</t>
  </si>
  <si>
    <t>MXP-503</t>
  </si>
  <si>
    <t>Axis 5000 Standard Network Card</t>
  </si>
  <si>
    <t>MXP-503 — Axis 5000 Standard Network Card (Fusion Fire)</t>
  </si>
  <si>
    <t>fusion fire mxp-503 axis 5000 standard network card</t>
  </si>
  <si>
    <t>MXP-509</t>
  </si>
  <si>
    <t>Axis 5000 Peer To Peer Fault Tolerant Network Card</t>
  </si>
  <si>
    <t>MXP-509 — Axis 5000 Peer To Peer Fault Tolerant Network Card (Fusion Fire)</t>
  </si>
  <si>
    <t>fusion fire mxp-509 axis 5000 peer to peer fault tolerant network card</t>
  </si>
  <si>
    <t>MOXA-Fiber-MM</t>
  </si>
  <si>
    <t>Multi Mode Fiber Optic Converter SC — AdNet Network</t>
  </si>
  <si>
    <t>MOXA-Fiber-MM — Multi Mode Fiber Optic Converter SC — AdNet Network (Fusion Fire)</t>
  </si>
  <si>
    <t>fusion fire moxa-fiber-mm multi mode fiber optic converter sc — adnet network</t>
  </si>
  <si>
    <t>MOXA-Fiber-SM</t>
  </si>
  <si>
    <t>Single Mode Fibre Optic Converter SC — AdNet Network</t>
  </si>
  <si>
    <t>MOXA-Fiber-SM — Single Mode Fibre Optic Converter SC — AdNet Network (Fusion Fire)</t>
  </si>
  <si>
    <t>fusion fire moxa-fiber-sm single mode fibre optic converter sc — adnet network</t>
  </si>
  <si>
    <t>UFEC15-24S</t>
  </si>
  <si>
    <t>Axis 5000 NT DC-DC Converter 24V to 12V @ 1.25A</t>
  </si>
  <si>
    <t>UFEC15-24S — Axis 5000 NT DC-DC Converter 24V to 12V @ 1.25A (Fusion Fire)</t>
  </si>
  <si>
    <t>fusion fire ufec15-24s axis 5000 nt dc-dc converter 24v to 12v @ 1.25a</t>
  </si>
  <si>
    <t>MXP-502</t>
  </si>
  <si>
    <t>Axis 5000 Digital Single Loop Driver Card (240 devices)</t>
  </si>
  <si>
    <t>MXP-502 — Axis 5000 Digital Single Loop Driver Card (240 devices) (Fusion Fire)</t>
  </si>
  <si>
    <t>fusion fire mxp-502 axis 5000 digital single loop driver card (240 devices)</t>
  </si>
  <si>
    <t>MXP-544</t>
  </si>
  <si>
    <t>Axis 5000 P-Bus 8 Way Relay Card</t>
  </si>
  <si>
    <t>MXP-544 — Axis 5000 P-Bus 8 Way Relay Card (Fusion Fire)</t>
  </si>
  <si>
    <t>fusion fire mxp-544 axis 5000 p-bus 8 way relay card</t>
  </si>
  <si>
    <t>AUP-543</t>
  </si>
  <si>
    <t>Axis 5000 P-Bus 6 Way Fan Controller c/w LEDs/Switches</t>
  </si>
  <si>
    <t>AUP-543 — Axis 5000 P-Bus 6 Way Fan Controller c/w LEDs/Switches (Fusion Fire)</t>
  </si>
  <si>
    <t>fusion fire aup-543 axis 5000 p-bus 6 way fan controller c/w leds/switches</t>
  </si>
  <si>
    <t>AUP-538</t>
  </si>
  <si>
    <t>Axis 5000 P-Bus 16-Way Switch Input Module c/w 3 Indicators</t>
  </si>
  <si>
    <t>AUP-538 — Axis 5000 P-Bus 16-Way Switch Input Module c/w 3 Indicators (Fusion Fire)</t>
  </si>
  <si>
    <t>fusion fire aup-538 axis 5000 p-bus 16-way switch input module c/w 3 indicators</t>
  </si>
  <si>
    <t>MXP-536</t>
  </si>
  <si>
    <t>Axis 5000 P-Bus 8-Way Conventional Zone Card</t>
  </si>
  <si>
    <t>MXP-536 — Axis 5000 P-Bus 8-Way Conventional Zone Card (Fusion Fire)</t>
  </si>
  <si>
    <t>fusion fire mxp-536 axis 5000 p-bus 8-way conventional zone card</t>
  </si>
  <si>
    <t>FWOPX</t>
  </si>
  <si>
    <t>Digital AA Optical Smoke Detector c/w SCI, Magnet Test</t>
  </si>
  <si>
    <t>FWOPX — Digital AA Optical Smoke Detector c/w SCI, Magnet Test (Fusion Fire)</t>
  </si>
  <si>
    <t>fusion fire fwopx digital aa optical smoke detector c/w sci, magnet test</t>
  </si>
  <si>
    <t>FWOP</t>
  </si>
  <si>
    <t>Digital AA Photo Optical Smoke Detector</t>
  </si>
  <si>
    <t>FWOP — Digital AA Photo Optical Smoke Detector (Fusion Fire)</t>
  </si>
  <si>
    <t>fusion fire fwop digital aa photo optical smoke detector</t>
  </si>
  <si>
    <t>FWOHX</t>
  </si>
  <si>
    <t>Digital AA Multi-Criteria Detector c/w SCI, Magnet Test</t>
  </si>
  <si>
    <t>FWOHX — Digital AA Multi-Criteria Detector c/w SCI, Magnet Test (Fusion Fire)</t>
  </si>
  <si>
    <t>fusion fire fwohx digital aa multi-criteria detector c/w sci, magnet test</t>
  </si>
  <si>
    <t>FWOH</t>
  </si>
  <si>
    <t>Digital AA Multi-Criteria Detector</t>
  </si>
  <si>
    <t>FWOH — Digital AA Multi-Criteria Detector (Fusion Fire)</t>
  </si>
  <si>
    <t>fusion fire fwoh digital aa multi-criteria detector</t>
  </si>
  <si>
    <t>FWHTX</t>
  </si>
  <si>
    <t>Digital AA Thermal Detector ROR/FT c/w SCI, Magnet Test</t>
  </si>
  <si>
    <t>FWHTX — Digital AA Thermal Detector ROR/FT c/w SCI, Magnet Test (Fusion Fire)</t>
  </si>
  <si>
    <t>fusion fire fwhtx digital aa thermal detector ror/ft c/w sci, magnet test</t>
  </si>
  <si>
    <t>FWHT</t>
  </si>
  <si>
    <t>Digital AA Thermal Detector ROR or FT</t>
  </si>
  <si>
    <t>FWHT — Digital AA Thermal Detector ROR or FT (Fusion Fire)</t>
  </si>
  <si>
    <t>fusion fire fwht digital aa thermal detector ror or ft</t>
  </si>
  <si>
    <t>FWMB</t>
  </si>
  <si>
    <t>Standard AA Detector Mounting Base c/w Loop Continuity Clip</t>
  </si>
  <si>
    <t>FWMB — Standard AA Detector Mounting Base c/w Loop Continuity Clip (Fusion Fire)</t>
  </si>
  <si>
    <t>fusion fire fwmb standard aa detector mounting base c/w loop continuity clip</t>
  </si>
  <si>
    <t>RI-ICS</t>
  </si>
  <si>
    <t>Remote Indicator — In Concealed Space</t>
  </si>
  <si>
    <t>RI-ICS — Remote Indicator — In Concealed Space (Fusion Fire)</t>
  </si>
  <si>
    <t>fusion fire ri-ics remote indicator — in concealed space</t>
  </si>
  <si>
    <t>FWDDH-OPX</t>
  </si>
  <si>
    <t>Duct Detector Housing 0.5–20m/s (incl. FWOPX &amp; FWMB)</t>
  </si>
  <si>
    <t>FWDDH-OPX — Duct Detector Housing 0.5–20m/s (incl. FWOPX &amp; FWMB) (Fusion Fire)</t>
  </si>
  <si>
    <t>fusion fire fwddh-opx duct detector housing 0.5–20m/s (incl. fwopx &amp; fwmb)</t>
  </si>
  <si>
    <t>DDH-ST-1.5</t>
  </si>
  <si>
    <t>Duct Housing Sampling Tube 1.5m</t>
  </si>
  <si>
    <t>DDH-ST-1.5 — Duct Housing Sampling Tube 1.5m (Fusion Fire)</t>
  </si>
  <si>
    <t>fusion fire ddh-st-1.5 duct housing sampling tube 1.5m</t>
  </si>
  <si>
    <t>T-1000E-65</t>
  </si>
  <si>
    <t>SS Probe Type A Heat Detector 65°C</t>
  </si>
  <si>
    <t>T-1000E-65 — SS Probe Type A Heat Detector 65°C (Fusion Fire)</t>
  </si>
  <si>
    <t>fusion fire t-1000e-65 ss probe type a heat detector 65°c</t>
  </si>
  <si>
    <t>FWCP</t>
  </si>
  <si>
    <t>Digital AA MCP — Resettable (Red)</t>
  </si>
  <si>
    <t>FWCP — Digital AA MCP — Resettable (Red) (Fusion Fire)</t>
  </si>
  <si>
    <t>fusion fire fwcp digital aa mcp — resettable (red)</t>
  </si>
  <si>
    <t>FCPCI</t>
  </si>
  <si>
    <t>Transparent Cover for Axis-CP AA MCPs (no text)</t>
  </si>
  <si>
    <t>FCPCI — Transparent Cover for Axis-CP AA MCPs (no text) (Fusion Fire)</t>
  </si>
  <si>
    <t>fusion fire fcpci transparent cover for axis-cp aa mcps (no text)</t>
  </si>
  <si>
    <t>MCP-RW</t>
  </si>
  <si>
    <t>Conv. MCP White EWIS c/w Resettable Glass</t>
  </si>
  <si>
    <t>MCP-RW — Conv. MCP White EWIS c/w Resettable Glass (Fusion Fire)</t>
  </si>
  <si>
    <t>fusion fire mcp-rw conv. mcp white ewis c/w resettable glass</t>
  </si>
  <si>
    <t>MCP-Cover-UK</t>
  </si>
  <si>
    <t>MCP Clear Cover for VCP100 MCPs</t>
  </si>
  <si>
    <t>MCP-Cover-UK — MCP Clear Cover for VCP100 MCPs (Fusion Fire)</t>
  </si>
  <si>
    <t>fusion fire mcp-cover-uk mcp clear cover for vcp100 mcps</t>
  </si>
  <si>
    <t>VAD-WWW</t>
  </si>
  <si>
    <t>Wall VAD White Flash, White Body AS ISO7240.23 24VDC</t>
  </si>
  <si>
    <t>VAD-WWW — Wall VAD White Flash, White Body AS ISO7240.23 24VDC (Fusion Fire)</t>
  </si>
  <si>
    <t>fusion fire vad-www wall vad white flash, white body as iso7240.23 24vdc</t>
  </si>
  <si>
    <t>FWCWS</t>
  </si>
  <si>
    <t>Conventional Wall Sounder</t>
  </si>
  <si>
    <t>FWCWS — Conventional Wall Sounder (Fusion Fire)</t>
  </si>
  <si>
    <t>fusion fire fwcws conventional wall sounder</t>
  </si>
  <si>
    <t>FWCWSV</t>
  </si>
  <si>
    <t>Conventional Wall Sounder Beacon</t>
  </si>
  <si>
    <t>FWCWSV — Conventional Wall Sounder Beacon (Fusion Fire)</t>
  </si>
  <si>
    <t>fusion fire fwcwsv conventional wall sounder beacon</t>
  </si>
  <si>
    <t>FWSMB</t>
  </si>
  <si>
    <t>AA Loop Powered Synchronised Sounder Base — 30 Tones</t>
  </si>
  <si>
    <t>FWSMB — AA Loop Powered Synchronised Sounder Base — 30 Tones (Fusion Fire)</t>
  </si>
  <si>
    <t>fusion fire fwsmb aa loop powered synchronised sounder base — 30 tones</t>
  </si>
  <si>
    <t>FWSVMB</t>
  </si>
  <si>
    <t>Addressable Sounder Beacon Base — 30 Tones</t>
  </si>
  <si>
    <t>FWSVMB — Addressable Sounder Beacon Base — 30 Tones (Fusion Fire)</t>
  </si>
  <si>
    <t>fusion fire fwsvmb addressable sounder beacon base — 30 tones</t>
  </si>
  <si>
    <t>FWS2MB</t>
  </si>
  <si>
    <t>Addressable Synchronised Sounder Base — 32 Tones</t>
  </si>
  <si>
    <t>FWS2MB — Addressable Synchronised Sounder Base — 32 Tones (Fusion Fire)</t>
  </si>
  <si>
    <t>fusion fire fws2mb addressable synchronised sounder base — 32 tones</t>
  </si>
  <si>
    <t>FWS2AMB</t>
  </si>
  <si>
    <t>Slave Sounder Base — 32 Selectable Tones</t>
  </si>
  <si>
    <t>FWS2AMB — Slave Sounder Base — 32 Selectable Tones (Fusion Fire)</t>
  </si>
  <si>
    <t>fusion fire fws2amb slave sounder base — 32 selectable tones</t>
  </si>
  <si>
    <t>FWSV2MB</t>
  </si>
  <si>
    <t>Addressable Sounder &amp; VAD Base — 32 Tones</t>
  </si>
  <si>
    <t>FWSV2MB — Addressable Sounder &amp; VAD Base — 32 Tones (Fusion Fire)</t>
  </si>
  <si>
    <t>fusion fire fwsv2mb addressable sounder &amp; vad base — 32 tones</t>
  </si>
  <si>
    <t>FWLID200/W</t>
  </si>
  <si>
    <t>Sounder Base Cover (White) — Axis &amp; Taurus Sounder Bases</t>
  </si>
  <si>
    <t>FWLID200/W — Sounder Base Cover (White) — Axis &amp; Taurus Sounder Bases (Fusion Fire)</t>
  </si>
  <si>
    <t>fusion fire fwlid200/w sounder base cover (white) — axis &amp; taurus sounder bases</t>
  </si>
  <si>
    <t>VA-104C</t>
  </si>
  <si>
    <t>100mm 6W Metal Grill Recessed Ceiling Speaker AS7240.24</t>
  </si>
  <si>
    <t>VA-104C — 100mm 6W Metal Grill Recessed Ceiling Speaker AS7240.24 (Fusion Fire)</t>
  </si>
  <si>
    <t>fusion fire va-104c 100mm 6w metal grill recessed ceiling speaker as7240.24</t>
  </si>
  <si>
    <t>HS-155</t>
  </si>
  <si>
    <t>155mm Metal &amp; Wood Hole Saw Bit for VA-104 Speakers</t>
  </si>
  <si>
    <t>HS-155 — 155mm Metal &amp; Wood Hole Saw Bit for VA-104 Speakers (Fusion Fire)</t>
  </si>
  <si>
    <t>fusion fire hs-155 155mm metal &amp; wood hole saw bit for va-104 speakers</t>
  </si>
  <si>
    <t>C2160</t>
  </si>
  <si>
    <t>Low Profile 100mm 5W EWIS Recessed Ceiling Speaker AS7240.24</t>
  </si>
  <si>
    <t>C2160 — Low Profile 100mm 5W EWIS Recessed Ceiling Speaker AS7240.24 (Fusion Fire)</t>
  </si>
  <si>
    <t>fusion fire c2160 low profile 100mm 5w ewis recessed ceiling speaker as7240.24</t>
  </si>
  <si>
    <t>CF-0703</t>
  </si>
  <si>
    <t>Low Profile 100mm 5W EWIS Surface Mount Speaker AS7240.24</t>
  </si>
  <si>
    <t>CF-0703 — Low Profile 100mm 5W EWIS Surface Mount Speaker AS7240.24 (Fusion Fire)</t>
  </si>
  <si>
    <t>fusion fire cf-0703 low profile 100mm 5w ewis surface mount speaker as7240.24</t>
  </si>
  <si>
    <t>CF2053G</t>
  </si>
  <si>
    <t>10W EWIS Horn Speaker Grey AS7240.24</t>
  </si>
  <si>
    <t>CF2053G — 10W EWIS Horn Speaker Grey AS7240.24 (Fusion Fire)</t>
  </si>
  <si>
    <t>fusion fire cf2053g 10w ewis horn speaker grey as7240.24</t>
  </si>
  <si>
    <t>FMMC-120</t>
  </si>
  <si>
    <t>Mini Single Relay Output Module (Form C) — No Enclosure</t>
  </si>
  <si>
    <t>FMMC-120 — Mini Single Relay Output Module (Form C) — No Enclosure (Fusion Fire)</t>
  </si>
  <si>
    <t>fusion fire fmmc-120 mini single relay output module (form c) — no enclosure</t>
  </si>
  <si>
    <t>FMIC-100</t>
  </si>
  <si>
    <t>Single Input &amp; Output Module Supervised — Wall Mount</t>
  </si>
  <si>
    <t>FMIC-100 — Single Input &amp; Output Module Supervised — Wall Mount (Fusion Fire)</t>
  </si>
  <si>
    <t>fusion fire fmic-100 single input &amp; output module supervised — wall mount</t>
  </si>
  <si>
    <t>FMMI-100</t>
  </si>
  <si>
    <t>Mini Single Input Module Supervised — No Enclosure</t>
  </si>
  <si>
    <t>FMMI-100 — Mini Single Input Module Supervised — No Enclosure (Fusion Fire)</t>
  </si>
  <si>
    <t>fusion fire fmmi-100 mini single input module supervised — no enclosure</t>
  </si>
  <si>
    <t>FMMIC-100</t>
  </si>
  <si>
    <t>Mini Single I/O Module Supervised — No Enclosure</t>
  </si>
  <si>
    <t>FMMIC-100 — Mini Single I/O Module Supervised — No Enclosure (Fusion Fire)</t>
  </si>
  <si>
    <t>fusion fire fmmic-100 mini single i/o module supervised — no enclosure</t>
  </si>
  <si>
    <t>FMMIC-120</t>
  </si>
  <si>
    <t>Mini Single I/O Relay Module (Form C) — No Enclosure</t>
  </si>
  <si>
    <t>FMMIC-120 — Mini Single I/O Relay Module (Form C) — No Enclosure (Fusion Fire)</t>
  </si>
  <si>
    <t>fusion fire fmmic-120 mini single i/o relay module (form c) — no enclosure</t>
  </si>
  <si>
    <t>FMMC-100</t>
  </si>
  <si>
    <t>Mini Single Output Module Supervised — No Enclosure</t>
  </si>
  <si>
    <t>FMMC-100 — Mini Single Output Module Supervised — No Enclosure (Fusion Fire)</t>
  </si>
  <si>
    <t>fusion fire fmmc-100 mini single output module supervised — no enclosure</t>
  </si>
  <si>
    <t>FMI-100</t>
  </si>
  <si>
    <t>Single Input Module Supervised — Wall Mount</t>
  </si>
  <si>
    <t>FMI-100 — Single Input Module Supervised — Wall Mount (Fusion Fire)</t>
  </si>
  <si>
    <t>fusion fire fmi-100 single input module supervised — wall mount</t>
  </si>
  <si>
    <t>FMC-120</t>
  </si>
  <si>
    <t>Single Relay Output Module (Form C) — Wall Mount</t>
  </si>
  <si>
    <t>FMC-120 — Single Relay Output Module (Form C) — Wall Mount (Fusion Fire)</t>
  </si>
  <si>
    <t>fusion fire fmc-120 single relay output module (form c) — wall mount</t>
  </si>
  <si>
    <t>FMIC-120</t>
  </si>
  <si>
    <t>Single Input &amp; Relay Output Module (Form C) — Wall Mount</t>
  </si>
  <si>
    <t>FMIC-120 — Single Input &amp; Relay Output Module (Form C) — Wall Mount (Fusion Fire)</t>
  </si>
  <si>
    <t>fusion fire fmic-120 single input &amp; relay output module (form c) — wall mount</t>
  </si>
  <si>
    <t>DMB100-C</t>
  </si>
  <si>
    <t>PVC Mounting Box for VM Modules 86x86x43mm</t>
  </si>
  <si>
    <t>DMB100-C — PVC Mounting Box for VM Modules 86x86x43mm (Fusion Fire)</t>
  </si>
  <si>
    <t>fusion fire dmb100-c pvc mounting box for vm modules 86x86x43mm</t>
  </si>
  <si>
    <t>FMIC-404</t>
  </si>
  <si>
    <t>4 Supervised Input &amp; 4 Relay Output Module c/w Enclosure</t>
  </si>
  <si>
    <t>FMIC-404 — 4 Supervised Input &amp; 4 Relay Output Module c/w Enclosure (Fusion Fire)</t>
  </si>
  <si>
    <t>fusion fire fmic-404 4 supervised input &amp; 4 relay output module c/w enclosure</t>
  </si>
  <si>
    <t>FMCZ100</t>
  </si>
  <si>
    <t>Collective/Conv. Zone Input Module — Loop Powered, Wall Mount</t>
  </si>
  <si>
    <t>FMCZ100 — Collective/Conv. Zone Input Module — Loop Powered, Wall Mount (Fusion Fire)</t>
  </si>
  <si>
    <t>fusion fire fmcz100 collective/conv. zone input module — loop powered, wall mount</t>
  </si>
  <si>
    <t>MDH-003</t>
  </si>
  <si>
    <t>Magnetic Door Holder 25/50kg — Wall Mount</t>
  </si>
  <si>
    <t>MDH-003 — Magnetic Door Holder 25/50kg — Wall Mount (Fusion Fire)</t>
  </si>
  <si>
    <t>fusion fire mdh-003 magnetic door holder 25/50kg — wall mount</t>
  </si>
  <si>
    <t>MDH-1350</t>
  </si>
  <si>
    <t>MDH-1350 — Magnetic Door Holder 25/50kg — Wall Mount (Fusion Fire)</t>
  </si>
  <si>
    <t>fusion fire mdh-1350 magnetic door holder 25/50kg — wall mount</t>
  </si>
  <si>
    <t>WIP Phone</t>
  </si>
  <si>
    <t>Red Warded Intercom Phone</t>
  </si>
  <si>
    <t>WIP Phone — Red Warded Intercom Phone (Fusion Fire)</t>
  </si>
  <si>
    <t>fusion fire wip phone red warded intercom phone</t>
  </si>
  <si>
    <t>WIP-120</t>
  </si>
  <si>
    <t>Addressable Warden Intercom Phone Module c/w Speech Loop</t>
  </si>
  <si>
    <t>WIP-120 — Addressable Warden Intercom Phone Module c/w Speech Loop (Fusion Fire)</t>
  </si>
  <si>
    <t>fusion fire wip-120 addressable warden intercom phone module c/w speech loop</t>
  </si>
  <si>
    <t>FRMT</t>
  </si>
  <si>
    <t>TAURUS Wireless DDI AA Translator/Transmitter — 128 Device</t>
  </si>
  <si>
    <t>FRMT — TAURUS Wireless DDI AA Translator/Transmitter — 128 Device (Fusion Fire)</t>
  </si>
  <si>
    <t>fusion fire frmt taurus wireless ddi aa translator/transmitter — 128 device</t>
  </si>
  <si>
    <t>FRMEC</t>
  </si>
  <si>
    <t>TAURUS Wireless DDI Conv. Transmitter Interface — 32 Device</t>
  </si>
  <si>
    <t>FRMEC — TAURUS Wireless DDI Conv. Transmitter Interface — 32 Device (Fusion Fire)</t>
  </si>
  <si>
    <t>fusion fire frmec taurus wireless ddi conv. transmitter interface — 32 device</t>
  </si>
  <si>
    <t>FRME</t>
  </si>
  <si>
    <t>TAURUS Wireless DDI Expander Module — 32 Device</t>
  </si>
  <si>
    <t>FRME — TAURUS Wireless DDI Expander Module — 32 Device (Fusion Fire)</t>
  </si>
  <si>
    <t>fusion fire frme taurus wireless ddi expander module — 32 device</t>
  </si>
  <si>
    <t>FROP</t>
  </si>
  <si>
    <t>TAURUS Wireless Dual Photo Optical Smoke Detector</t>
  </si>
  <si>
    <t>FROP — TAURUS Wireless Dual Photo Optical Smoke Detector (Fusion Fire)</t>
  </si>
  <si>
    <t>fusion fire frop taurus wireless dual photo optical smoke detector</t>
  </si>
  <si>
    <t>FROH</t>
  </si>
  <si>
    <t>TAURUS Wireless Multi-Criteria &amp; Multi-Sensor Detector</t>
  </si>
  <si>
    <t>FROH — TAURUS Wireless Multi-Criteria &amp; Multi-Sensor Detector (Fusion Fire)</t>
  </si>
  <si>
    <t>fusion fire froh taurus wireless multi-criteria &amp; multi-sensor detector</t>
  </si>
  <si>
    <t>FRHT</t>
  </si>
  <si>
    <t>TAURUS Wireless Thermal Detector — ROR or Fixed Temp</t>
  </si>
  <si>
    <t>FRHT — TAURUS Wireless Thermal Detector — ROR or Fixed Temp (Fusion Fire)</t>
  </si>
  <si>
    <t>fusion fire frht taurus wireless thermal detector — ror or fixed temp</t>
  </si>
  <si>
    <t>FRMI</t>
  </si>
  <si>
    <t>TAURUS Wireless Supervised Single Input Module</t>
  </si>
  <si>
    <t>FRMI — TAURUS Wireless Supervised Single Input Module (Fusion Fire)</t>
  </si>
  <si>
    <t>fusion fire frmi taurus wireless supervised single input module</t>
  </si>
  <si>
    <t>FRMO</t>
  </si>
  <si>
    <t>TAURUS Wireless Output Module with Relay</t>
  </si>
  <si>
    <t>FRMO — TAURUS Wireless Output Module with Relay (Fusion Fire)</t>
  </si>
  <si>
    <t>fusion fire frmo taurus wireless output module with relay</t>
  </si>
  <si>
    <t>FRSMB</t>
  </si>
  <si>
    <t>TAURUS Wireless Sounder &amp; Base 91dB@1m</t>
  </si>
  <si>
    <t>FRSMB — TAURUS Wireless Sounder &amp; Base 91dB@1m (Fusion Fire)</t>
  </si>
  <si>
    <t>fusion fire frsmb taurus wireless sounder &amp; base 91db@1m</t>
  </si>
  <si>
    <t>FRCP</t>
  </si>
  <si>
    <t>TAURUS Wireless AA MCP — Resettable</t>
  </si>
  <si>
    <t>FRCP — TAURUS Wireless AA MCP — Resettable (Fusion Fire)</t>
  </si>
  <si>
    <t>fusion fire frcp taurus wireless aa mcp — resettable</t>
  </si>
  <si>
    <t>FRWSM</t>
  </si>
  <si>
    <t>TAURUS Wireless Sounder/VAD Interface Module</t>
  </si>
  <si>
    <t>FRWSM — TAURUS Wireless Sounder/VAD Interface Module (Fusion Fire)</t>
  </si>
  <si>
    <t>fusion fire frwsm taurus wireless sounder/vad interface module</t>
  </si>
  <si>
    <t>FWPU</t>
  </si>
  <si>
    <t>Fusion Hand-Held Programming Unit (upgradable)</t>
  </si>
  <si>
    <t>FWPU — Fusion Hand-Held Programming Unit (upgradable) (Fusion Fire)</t>
  </si>
  <si>
    <t>fusion fire fwpu fusion hand-held programming unit (upgradable)</t>
  </si>
  <si>
    <t>FWPU/CARRY</t>
  </si>
  <si>
    <t>AXIS-PU Carry Case 245x155x75mm</t>
  </si>
  <si>
    <t>FWPU/CARRY — AXIS-PU Carry Case 245x155x75mm (Fusion Fire)</t>
  </si>
  <si>
    <t>fusion fire fwpu/carry axis-pu carry case 245x155x75mm</t>
  </si>
  <si>
    <t>CR123A-PCCR</t>
  </si>
  <si>
    <t>Duracell/PROCELL CR-123A 3V Lithium Battery</t>
  </si>
  <si>
    <t>CR123A-PCCR — Duracell/PROCELL CR-123A 3V Lithium Battery (Fusion Fire)</t>
  </si>
  <si>
    <t>fusion fire cr123a-pccr duracell/procell cr-123a 3v lithium battery</t>
  </si>
  <si>
    <t>DMB100-L</t>
  </si>
  <si>
    <t>Large PVC Mounting Box for VM Modules 108x108x64mm</t>
  </si>
  <si>
    <t>DMB100-L — Large PVC Mounting Box for VM Modules 108x108x64mm (Fusion Fire)</t>
  </si>
  <si>
    <t>fusion fire dmb100-l large pvc mounting box for vm modules 108x108x64mm</t>
  </si>
  <si>
    <t>FlameStop</t>
  </si>
  <si>
    <t>P-VEP-A00-1P</t>
  </si>
  <si>
    <t>P-VEP-A00-1P — VESDA-E VEP with LEDs, 1 Pipe (FlameStop)</t>
  </si>
  <si>
    <t>flamestop p-vep-a00-1p vesda-e vep with leds, 1 pipe</t>
  </si>
  <si>
    <t>P-VEP-A00-P</t>
  </si>
  <si>
    <t>P-VEP-A00-P — VESDA-E VEP with LEDs, Plastic Enclosure 4 Pipe (FlameStop)</t>
  </si>
  <si>
    <t>flamestop p-vep-a00-p vesda-e vep with leds, plastic enclosure 4 pipe</t>
  </si>
  <si>
    <t>P-VEP-A10-P</t>
  </si>
  <si>
    <t>P-VEP-A10-P — VESDA-E VEP with 3.5" LCD Display, 4 Pipe (FlameStop)</t>
  </si>
  <si>
    <t>flamestop p-vep-a10-p vesda-e vep with 3.5" lcd display, 4 pipe</t>
  </si>
  <si>
    <t>P-VSP-960</t>
  </si>
  <si>
    <t>Mounting Bracket for VEP, VES and VEU</t>
  </si>
  <si>
    <t>P-VSP-960 — Mounting Bracket for VEP, VES and VEU (FlameStop)</t>
  </si>
  <si>
    <t>flamestop p-vsp-960 mounting bracket for vep, ves and veu</t>
  </si>
  <si>
    <t>P-VSP-962</t>
  </si>
  <si>
    <t>VESDA-E Filter (1 pc)</t>
  </si>
  <si>
    <t>P-VSP-962 — VESDA-E Filter (1 pc) (FlameStop)</t>
  </si>
  <si>
    <t>flamestop p-vsp-962 vesda-e filter (1 pc)</t>
  </si>
  <si>
    <t>P-VSP-962-20</t>
  </si>
  <si>
    <t>VESDA-E Filter — 20 Pieces</t>
  </si>
  <si>
    <t>P-VSP-962-20 — VESDA-E Filter — 20 Pieces (FlameStop)</t>
  </si>
  <si>
    <t>flamestop p-vsp-962-20 vesda-e filter — 20 pieces</t>
  </si>
  <si>
    <t>P-VSP-965</t>
  </si>
  <si>
    <t>VESDA-E Sampling Module</t>
  </si>
  <si>
    <t>P-VSP-965 — VESDA-E Sampling Module (FlameStop)</t>
  </si>
  <si>
    <t>flamestop p-vsp-965 vesda-e sampling module</t>
  </si>
  <si>
    <t>P-VSP-964-03</t>
  </si>
  <si>
    <t>VESDA-E Smoke Detection Chamber for GA3 (Serial 97+)</t>
  </si>
  <si>
    <t>P-VSP-964-03 — VESDA-E Smoke Detection Chamber for GA3 (Serial 97+) (FlameStop)</t>
  </si>
  <si>
    <t>flamestop p-vsp-964-03 vesda-e smoke detection chamber for ga3 (serial 97+)</t>
  </si>
  <si>
    <t>P-VES-A00-P</t>
  </si>
  <si>
    <t>VESDA-E VES with LEDs, Plastic Enclosure</t>
  </si>
  <si>
    <t>P-VES-A00-P — VESDA-E VES with LEDs, Plastic Enclosure (FlameStop)</t>
  </si>
  <si>
    <t>flamestop p-ves-a00-p vesda-e ves with leds, plastic enclosure</t>
  </si>
  <si>
    <t>P-VES-A10-P</t>
  </si>
  <si>
    <t>VESDA-E VES with 3.5 inch Display, Plastic Enclosure</t>
  </si>
  <si>
    <t>P-VES-A10-P — VESDA-E VES with 3.5 inch Display, Plastic Enclosure (FlameStop)</t>
  </si>
  <si>
    <t>flamestop p-ves-a10-p vesda-e ves with 3.5 inch display, plastic enclosure</t>
  </si>
  <si>
    <t>PLAB1.3AH</t>
  </si>
  <si>
    <t>1.3AH 12VDC Lead Acid Battery</t>
  </si>
  <si>
    <t>PLAB1.3AH — 1.3AH 12VDC Lead Acid Battery (FlameStop)</t>
  </si>
  <si>
    <t>flamestop plab1.3ah 1.3ah 12vdc lead acid battery</t>
  </si>
  <si>
    <t>PLAB2.3AH</t>
  </si>
  <si>
    <t>2.3AH 12VDC Lead Acid Battery</t>
  </si>
  <si>
    <t>PLAB2.3AH — 2.3AH 12VDC Lead Acid Battery (FlameStop)</t>
  </si>
  <si>
    <t>flamestop plab2.3ah 2.3ah 12vdc lead acid battery</t>
  </si>
  <si>
    <t>PLAB3.2AH</t>
  </si>
  <si>
    <t>3.2AH 12VDC Lead Acid Battery</t>
  </si>
  <si>
    <t>PLAB3.2AH — 3.2AH 12VDC Lead Acid Battery (FlameStop)</t>
  </si>
  <si>
    <t>flamestop plab3.2ah 3.2ah 12vdc lead acid battery</t>
  </si>
  <si>
    <t>PLAB7AH</t>
  </si>
  <si>
    <t>7AH 12VDC Lead Acid Battery</t>
  </si>
  <si>
    <t>PLAB7AH — 7AH 12VDC Lead Acid Battery (FlameStop)</t>
  </si>
  <si>
    <t>flamestop plab7ah 7ah 12vdc lead acid battery</t>
  </si>
  <si>
    <t>PLAB9AH</t>
  </si>
  <si>
    <t>9AH 12VDC Lead Acid Battery</t>
  </si>
  <si>
    <t>PLAB9AH — 9AH 12VDC Lead Acid Battery (FlameStop)</t>
  </si>
  <si>
    <t>flamestop plab9ah 9ah 12vdc lead acid battery</t>
  </si>
  <si>
    <t>PLAB12AH</t>
  </si>
  <si>
    <t>12AH 12VDC Lead Acid Battery</t>
  </si>
  <si>
    <t>PLAB12AH — 12AH 12VDC Lead Acid Battery (FlameStop)</t>
  </si>
  <si>
    <t>flamestop plab12ah 12ah 12vdc lead acid battery</t>
  </si>
  <si>
    <t>PLAB15AH</t>
  </si>
  <si>
    <t>15AH 12VDC Lead Acid Battery</t>
  </si>
  <si>
    <t>PLAB15AH — 15AH 12VDC Lead Acid Battery (FlameStop)</t>
  </si>
  <si>
    <t>flamestop plab15ah 15ah 12vdc lead acid battery</t>
  </si>
  <si>
    <t>PLAB18AH</t>
  </si>
  <si>
    <t>18AH 12VDC Lead Acid Battery</t>
  </si>
  <si>
    <t>PLAB18AH — 18AH 12VDC Lead Acid Battery (FlameStop)</t>
  </si>
  <si>
    <t>flamestop plab18ah 18ah 12vdc lead acid battery</t>
  </si>
  <si>
    <t>PLAB26AH</t>
  </si>
  <si>
    <t>26AH 12VDC Lead Acid Battery</t>
  </si>
  <si>
    <t>PLAB26AH — 26AH 12VDC Lead Acid Battery (FlameStop)</t>
  </si>
  <si>
    <t>flamestop plab26ah 26ah 12vdc lead acid battery</t>
  </si>
  <si>
    <t>PLAB33AH</t>
  </si>
  <si>
    <t>33AH 12VDC Lead Acid Battery</t>
  </si>
  <si>
    <t>PLAB33AH — 33AH 12VDC Lead Acid Battery (FlameStop)</t>
  </si>
  <si>
    <t>flamestop plab33ah 33ah 12vdc lead acid battery</t>
  </si>
  <si>
    <t>PLAB40AH</t>
  </si>
  <si>
    <t>40AH 12VDC Lead Acid Battery</t>
  </si>
  <si>
    <t>PLAB40AH — 40AH 12VDC Lead Acid Battery (FlameStop)</t>
  </si>
  <si>
    <t>flamestop plab40ah 40ah 12vdc lead acid battery</t>
  </si>
  <si>
    <t>PLAB45AH</t>
  </si>
  <si>
    <t>45AH 12VDC Lead Acid Battery</t>
  </si>
  <si>
    <t>PLAB45AH — 45AH 12VDC Lead Acid Battery (FlameStop)</t>
  </si>
  <si>
    <t>flamestop plab45ah 45ah 12vdc lead acid battery</t>
  </si>
  <si>
    <t>PLAB55AH</t>
  </si>
  <si>
    <t>55AH 12VDC Lead Acid Battery</t>
  </si>
  <si>
    <t>PLAB55AH — 55AH 12VDC Lead Acid Battery (FlameStop)</t>
  </si>
  <si>
    <t>flamestop plab55ah 55ah 12vdc lead acid battery</t>
  </si>
  <si>
    <t>PLAB65AH</t>
  </si>
  <si>
    <t>65AH 12VDC Lead Acid Battery</t>
  </si>
  <si>
    <t>PLAB65AH — 65AH 12VDC Lead Acid Battery (FlameStop)</t>
  </si>
  <si>
    <t>flamestop plab65ah 65ah 12vdc lead acid battery</t>
  </si>
  <si>
    <t>PLAB75AH</t>
  </si>
  <si>
    <t>75AH 12VDC Lead Acid Battery</t>
  </si>
  <si>
    <t>PLAB75AH — 75AH 12VDC Lead Acid Battery (FlameStop)</t>
  </si>
  <si>
    <t>flamestop plab75ah 75ah 12vdc lead acid battery</t>
  </si>
  <si>
    <t>PLAB85AH</t>
  </si>
  <si>
    <t>85AH 12VDC Lead Acid Battery</t>
  </si>
  <si>
    <t>PLAB85AH — 85AH 12VDC Lead Acid Battery (FlameStop)</t>
  </si>
  <si>
    <t>flamestop plab85ah 85ah 12vdc lead acid battery</t>
  </si>
  <si>
    <t>PLAB100AH</t>
  </si>
  <si>
    <t>100AH 12VDC Lead Acid Battery</t>
  </si>
  <si>
    <t>PLAB100AH — 100AH 12VDC Lead Acid Battery (FlameStop)</t>
  </si>
  <si>
    <t>flamestop plab100ah 100ah 12vdc lead acid battery</t>
  </si>
  <si>
    <t>PLAB120AH</t>
  </si>
  <si>
    <t>120AH 12VDC Lead Acid Battery</t>
  </si>
  <si>
    <t>PLAB120AH — 120AH 12VDC Lead Acid Battery (FlameStop)</t>
  </si>
  <si>
    <t>flamestop plab120ah 120ah 12vdc lead acid battery</t>
  </si>
  <si>
    <t>PLAB150AH</t>
  </si>
  <si>
    <t>150AH 12VDC Lead Acid Battery</t>
  </si>
  <si>
    <t>PLAB150AH — 150AH 12VDC Lead Acid Battery (FlameStop)</t>
  </si>
  <si>
    <t>flamestop plab150ah 150ah 12vdc lead acid battery</t>
  </si>
  <si>
    <t>PLAB200AH</t>
  </si>
  <si>
    <t>200AH 12VDC Lead Acid Battery</t>
  </si>
  <si>
    <t>PLAB200AH — 200AH 12VDC Lead Acid Battery (FlameStop)</t>
  </si>
  <si>
    <t>flamestop plab200ah 200ah 12vdc lead acid battery</t>
  </si>
  <si>
    <t>PLAB230AH</t>
  </si>
  <si>
    <t>230AH 12VDC Lead Acid Battery</t>
  </si>
  <si>
    <t>PLAB230AH — 230AH 12VDC Lead Acid Battery (FlameStop)</t>
  </si>
  <si>
    <t>flamestop plab230ah 230ah 12vdc lead acid battery</t>
  </si>
  <si>
    <t>PLAB250AH</t>
  </si>
  <si>
    <t>250AH 12VDC Lead Acid Battery</t>
  </si>
  <si>
    <t>PLAB250AH — 250AH 12VDC Lead Acid Battery (FlameStop)</t>
  </si>
  <si>
    <t>flamestop plab250ah 250ah 12vdc lead acid battery</t>
  </si>
  <si>
    <t>PLAB26AH-DC</t>
  </si>
  <si>
    <t>26AH 12VDC AGM VRLA Deep Cycle Lead Acid Battery</t>
  </si>
  <si>
    <t>PLAB26AH-DC — 26AH 12VDC AGM VRLA Deep Cycle Lead Acid Battery (FlameStop)</t>
  </si>
  <si>
    <t>flamestop plab26ah-dc 26ah 12vdc agm vrla deep cycle lead acid battery</t>
  </si>
  <si>
    <t>PLAB33AH-DC</t>
  </si>
  <si>
    <t>33AH 12VDC Hybrid AGM VRLA Deep Cycle Lead Acid Battery</t>
  </si>
  <si>
    <t>PLAB33AH-DC — 33AH 12VDC Hybrid AGM VRLA Deep Cycle Lead Acid Battery (FlameStop)</t>
  </si>
  <si>
    <t>flamestop plab33ah-dc 33ah 12vdc hybrid agm vrla deep cycle lead acid battery</t>
  </si>
  <si>
    <t>PLAB40AH-DC</t>
  </si>
  <si>
    <t>40AH 12VDC Hybrid AGM VRLA Deep Cycle Lead Acid Battery</t>
  </si>
  <si>
    <t>PLAB40AH-DC — 40AH 12VDC Hybrid AGM VRLA Deep Cycle Lead Acid Battery (FlameStop)</t>
  </si>
  <si>
    <t>flamestop plab40ah-dc 40ah 12vdc hybrid agm vrla deep cycle lead acid battery</t>
  </si>
  <si>
    <t>PLAB55AH-DC</t>
  </si>
  <si>
    <t>55AH 12VDC Hybrid AGM VRLA Deep Cycle Lead Acid Battery</t>
  </si>
  <si>
    <t>PLAB55AH-DC — 55AH 12VDC Hybrid AGM VRLA Deep Cycle Lead Acid Battery (FlameStop)</t>
  </si>
  <si>
    <t>flamestop plab55ah-dc 55ah 12vdc hybrid agm vrla deep cycle lead acid battery</t>
  </si>
  <si>
    <t>PLAB75AH-DC</t>
  </si>
  <si>
    <t>75AH 12VDC Hybrid AGM VRLA Deep Cycle Lead Acid Battery</t>
  </si>
  <si>
    <t>PLAB75AH-DC — 75AH 12VDC Hybrid AGM VRLA Deep Cycle Lead Acid Battery (FlameStop)</t>
  </si>
  <si>
    <t>flamestop plab75ah-dc 75ah 12vdc hybrid agm vrla deep cycle lead acid battery</t>
  </si>
  <si>
    <t>PLAB85AH-DC</t>
  </si>
  <si>
    <t>85AH 12VDC Hybrid AGM VRLA Deep Cycle Lead Acid Battery</t>
  </si>
  <si>
    <t>PLAB85AH-DC — 85AH 12VDC Hybrid AGM VRLA Deep Cycle Lead Acid Battery (FlameStop)</t>
  </si>
  <si>
    <t>flamestop plab85ah-dc 85ah 12vdc hybrid agm vrla deep cycle lead acid battery</t>
  </si>
  <si>
    <t>PLAB100AH-DC</t>
  </si>
  <si>
    <t>100AH 12VDC Hybrid AGM VRLA Deep Cycle Lead Acid Battery</t>
  </si>
  <si>
    <t>PLAB100AH-DC — 100AH 12VDC Hybrid AGM VRLA Deep Cycle Lead Acid Battery (FlameStop)</t>
  </si>
  <si>
    <t>flamestop plab100ah-dc 100ah 12vdc hybrid agm vrla deep cycle lead acid battery</t>
  </si>
  <si>
    <t>PLAB120AH-DC</t>
  </si>
  <si>
    <t>120AH 12VDC Hybrid AGM VRLA Deep Cycle Lead Acid Battery</t>
  </si>
  <si>
    <t>PLAB120AH-DC — 120AH 12VDC Hybrid AGM VRLA Deep Cycle Lead Acid Battery (FlameStop)</t>
  </si>
  <si>
    <t>flamestop plab120ah-dc 120ah 12vdc hybrid agm vrla deep cycle lead acid battery</t>
  </si>
  <si>
    <t>PLAB150AH-DC</t>
  </si>
  <si>
    <t>150AH 12VDC AGM VRLA Deep Cycle Lead Acid Battery</t>
  </si>
  <si>
    <t>PLAB150AH-DC — 150AH 12VDC AGM VRLA Deep Cycle Lead Acid Battery (FlameStop)</t>
  </si>
  <si>
    <t>flamestop plab150ah-dc 150ah 12vdc agm vrla deep cycle lead acid battery</t>
  </si>
  <si>
    <t>PLAB200AH-DC</t>
  </si>
  <si>
    <t>200AH 12VDC AGM VRLA Deep Cycle Lead Acid Battery</t>
  </si>
  <si>
    <t>PLAB200AH-DC — 200AH 12VDC AGM VRLA Deep Cycle Lead Acid Battery (FlameStop)</t>
  </si>
  <si>
    <t>flamestop plab200ah-dc 200ah 12vdc agm vrla deep cycle lead acid battery</t>
  </si>
  <si>
    <t>P-CR123A</t>
  </si>
  <si>
    <t>3V Lithium Battery (CR123A)</t>
  </si>
  <si>
    <t>P-CR123A — 3V Lithium Battery (CR123A) (FlameStop)</t>
  </si>
  <si>
    <t>flamestop p-cr123a 3v lithium battery (cr123a)</t>
  </si>
  <si>
    <t>NC-SOL0370</t>
  </si>
  <si>
    <t>Solo 365 Battery</t>
  </si>
  <si>
    <t>NC-SOL0370 — Solo 365 Battery (FlameStop)</t>
  </si>
  <si>
    <t>flamestop nc-sol0370 solo 365 battery</t>
  </si>
  <si>
    <t>NC-SOL0370-4PACK</t>
  </si>
  <si>
    <t>Solo 365 Battery — 4 Pack</t>
  </si>
  <si>
    <t>NC-SOL0370-4PACK — Solo 365 Battery — 4 Pack (FlameStop)</t>
  </si>
  <si>
    <t>flamestop nc-sol0370-4pack solo 365 battery — 4 pack</t>
  </si>
  <si>
    <t>PFS200-BBS-MW</t>
  </si>
  <si>
    <t>Battery Box for FlameStop Addressable Panels — Milk White</t>
  </si>
  <si>
    <t>PFS200-BBS-MW — Battery Box for FlameStop Addressable Panels — Milk White (FlameStop)</t>
  </si>
  <si>
    <t>flamestop pfs200-bbs-mw battery box for flamestop addressable panels — milk white</t>
  </si>
  <si>
    <t>PFS200-BBS</t>
  </si>
  <si>
    <t>Battery Box for FlameStop Addressable Panels — Grey</t>
  </si>
  <si>
    <t>PFS200-BBS — Battery Box for FlameStop Addressable Panels — Grey (FlameStop)</t>
  </si>
  <si>
    <t>flamestop pfs200-bbs battery box for flamestop addressable panels — grey</t>
  </si>
  <si>
    <t>PFS100CAB-MWLRG</t>
  </si>
  <si>
    <t>Battery Box for FlameStop Conventional Large Panels</t>
  </si>
  <si>
    <t>PFS100CAB-MWLRG — Battery Box for FlameStop Conventional Large Panels (FlameStop)</t>
  </si>
  <si>
    <t>flamestop pfs100cab-mwlrg battery box for flamestop conventional large panels</t>
  </si>
  <si>
    <t>PS407-M2D</t>
  </si>
  <si>
    <t>24VDC Stand-Alone 2.5A PSU in Metal Cabinet (2x12ah batteries)</t>
  </si>
  <si>
    <t>PS407-M2D — 24VDC Stand-Alone 2.5A PSU in Metal Cabinet (2x12ah batteries) (FlameStop)</t>
  </si>
  <si>
    <t>flamestop ps407-m2d 24vdc stand-alone 2.5a psu in metal cabinet (2x12ah batteries)</t>
  </si>
  <si>
    <t>PS408</t>
  </si>
  <si>
    <t>24VDC Stand-Alone 10A PSU in Kit Form — AS7240.4 Approved</t>
  </si>
  <si>
    <t>PS408 — 24VDC Stand-Alone 10A PSU in Kit Form — AS7240.4 Approved (FlameStop)</t>
  </si>
  <si>
    <t>flamestop ps408 24vdc stand-alone 10a psu in kit form — as7240.4 approved</t>
  </si>
  <si>
    <t>PS408-M3D</t>
  </si>
  <si>
    <t>24VDC Stand-Alone 10A PSU in Metal Cabinet (2x45ah batteries)</t>
  </si>
  <si>
    <t>PS408-M3D — 24VDC Stand-Alone 10A PSU in Metal Cabinet (2x45ah batteries) (FlameStop)</t>
  </si>
  <si>
    <t>flamestop ps408-m3d 24vdc stand-alone 10a psu in metal cabinet (2x45ah batteries)</t>
  </si>
  <si>
    <t>PS406-M3D</t>
  </si>
  <si>
    <t>24VDC Stand-Alone 5.25A PSU in Metal Cabinet (2x26ah batteries)</t>
  </si>
  <si>
    <t>PS406-M3D — 24VDC Stand-Alone 5.25A PSU in Metal Cabinet (2x26ah batteries) (FlameStop)</t>
  </si>
  <si>
    <t>flamestop ps406-m3d 24vdc stand-alone 5.25a psu in metal cabinet (2x26ah batteries)</t>
  </si>
  <si>
    <t>PWSP-GRILL</t>
  </si>
  <si>
    <t>White Grill for 100mm Speaker</t>
  </si>
  <si>
    <t>PWSP-GRILL — White Grill for 100mm Speaker (FlameStop)</t>
  </si>
  <si>
    <t>flamestop pwsp-grill white grill for 100mm speaker</t>
  </si>
  <si>
    <t>PWSP-GRILL200</t>
  </si>
  <si>
    <t>White Grill for 200mm Speaker</t>
  </si>
  <si>
    <t>PWSP-GRILL200 — White Grill for 200mm Speaker (FlameStop)</t>
  </si>
  <si>
    <t>flamestop pwsp-grill200 white grill for 200mm speaker</t>
  </si>
  <si>
    <t>PWSP-100PLAIN</t>
  </si>
  <si>
    <t>5 Watt 100V 100mm Twin Cone Speaker</t>
  </si>
  <si>
    <t>PWSP-100PLAIN — 5 Watt 100V 100mm Twin Cone Speaker (FlameStop)</t>
  </si>
  <si>
    <t>flamestop pwsp-100plain 5 watt 100v 100mm twin cone speaker</t>
  </si>
  <si>
    <t>PHS140</t>
  </si>
  <si>
    <t>Hole Saw 140mm + Arbor</t>
  </si>
  <si>
    <t>PHS140 — Hole Saw 140mm + Arbor (FlameStop)</t>
  </si>
  <si>
    <t>flamestop phs140 hole saw 140mm + arbor</t>
  </si>
  <si>
    <t>PVAD-R-CM</t>
  </si>
  <si>
    <t>Ceiling Mount VAD — Red Body, Red Flash</t>
  </si>
  <si>
    <t>PVAD-R-CM — Ceiling Mount VAD — Red Body, Red Flash (FlameStop)</t>
  </si>
  <si>
    <t>flamestop pvad-r-cm ceiling mount vad — red body, red flash</t>
  </si>
  <si>
    <t>PVAD-W-CM</t>
  </si>
  <si>
    <t>Ceiling Mount VAD — White Body, Red Flash</t>
  </si>
  <si>
    <t>PVAD-W-CM — Ceiling Mount VAD — White Body, Red Flash (FlameStop)</t>
  </si>
  <si>
    <t>flamestop pvad-w-cm ceiling mount vad — white body, red flash</t>
  </si>
  <si>
    <t>PVAD-W-CM-WF</t>
  </si>
  <si>
    <t>Ceiling Mount VAD — White Body, White Flash</t>
  </si>
  <si>
    <t>PVAD-W-CM-WF — Ceiling Mount VAD — White Body, White Flash (FlameStop)</t>
  </si>
  <si>
    <t>flamestop pvad-w-cm-wf ceiling mount vad — white body, white flash</t>
  </si>
  <si>
    <t>PVAD-W-CMDB</t>
  </si>
  <si>
    <t>Ceiling Mount VAD Deep Base — White Body, Red Flash</t>
  </si>
  <si>
    <t>PVAD-W-CMDB — Ceiling Mount VAD Deep Base — White Body, Red Flash (FlameStop)</t>
  </si>
  <si>
    <t>flamestop pvad-w-cmdb ceiling mount vad deep base — white body, red flash</t>
  </si>
  <si>
    <t>PVAD-R-CMDB</t>
  </si>
  <si>
    <t>Ceiling Mount VAD Deep Base — Red Body, Red Flash</t>
  </si>
  <si>
    <t>PVAD-R-CMDB — Ceiling Mount VAD Deep Base — Red Body, Red Flash (FlameStop)</t>
  </si>
  <si>
    <t>flamestop pvad-r-cmdb ceiling mount vad deep base — red body, red flash</t>
  </si>
  <si>
    <t>PVAD-W-CMDB-WF</t>
  </si>
  <si>
    <t>Ceiling Mount VAD Deep Base — White Body, White Flash</t>
  </si>
  <si>
    <t>PVAD-W-CMDB-WF — Ceiling Mount VAD Deep Base — White Body, White Flash (FlameStop)</t>
  </si>
  <si>
    <t>flamestop pvad-w-cmdb-wf ceiling mount vad deep base — white body, white flash</t>
  </si>
  <si>
    <t>PVAD-R-WM</t>
  </si>
  <si>
    <t>Wall Mount VAD — Red Lens</t>
  </si>
  <si>
    <t>PVAD-R-WM — Wall Mount VAD — Red Lens (FlameStop)</t>
  </si>
  <si>
    <t>flamestop pvad-r-wm wall mount vad — red lens</t>
  </si>
  <si>
    <t>PVAD-W-WM</t>
  </si>
  <si>
    <t>Wall Mount VAD — White Body, Red Flash</t>
  </si>
  <si>
    <t>PVAD-W-WM — Wall Mount VAD — White Body, Red Flash (FlameStop)</t>
  </si>
  <si>
    <t>flamestop pvad-w-wm wall mount vad — white body, red flash</t>
  </si>
  <si>
    <t>PVAD-R-WMDB</t>
  </si>
  <si>
    <t>Wall Mount VAD Deep Base — Red Body, Red Flash</t>
  </si>
  <si>
    <t>PVAD-R-WMDB — Wall Mount VAD Deep Base — Red Body, Red Flash (FlameStop)</t>
  </si>
  <si>
    <t>flamestop pvad-r-wmdb wall mount vad deep base — red body, red flash</t>
  </si>
  <si>
    <t>PVAD-R-WMBASE</t>
  </si>
  <si>
    <t>Red Wall Mount VAD Base Only</t>
  </si>
  <si>
    <t>PVAD-R-WMBASE — Red Wall Mount VAD Base Only (FlameStop)</t>
  </si>
  <si>
    <t>flamestop pvad-r-wmbase red wall mount vad base only</t>
  </si>
  <si>
    <t>PXCRDEEP</t>
  </si>
  <si>
    <t>Optional Red Deep Base for Conduit Entry</t>
  </si>
  <si>
    <t>PXCRDEEP — Optional Red Deep Base for Conduit Entry (FlameStop)</t>
  </si>
  <si>
    <t>flamestop pxcrdeep optional red deep base for conduit entry</t>
  </si>
  <si>
    <t>PXCWHDEEP</t>
  </si>
  <si>
    <t>Optional White Deep Base for Conduit Entry</t>
  </si>
  <si>
    <t>PXCWHDEEP — Optional White Deep Base for Conduit Entry (FlameStop)</t>
  </si>
  <si>
    <t>flamestop pxcwhdeep optional white deep base for conduit entry</t>
  </si>
  <si>
    <t>P-576.080.006</t>
  </si>
  <si>
    <t>P80AVB MX Addressable Sounder/VAD Base</t>
  </si>
  <si>
    <t>P-576.080.006 — P80AVB MX Addressable Sounder/VAD Base (FlameStop)</t>
  </si>
  <si>
    <t>flamestop p-576.080.006 p80avb mx addressable sounder/vad base</t>
  </si>
  <si>
    <t>PFS100CAB-R-WIP</t>
  </si>
  <si>
    <t>WIP Phone Box — Red</t>
  </si>
  <si>
    <t>PFS100CAB-R-WIP — WIP Phone Box — Red (FlameStop)</t>
  </si>
  <si>
    <t>flamestop pfs100cab-r-wip wip phone box — red</t>
  </si>
  <si>
    <t>PFS100CAB-MW-WIP</t>
  </si>
  <si>
    <t>WIP Phone Box — Milk White</t>
  </si>
  <si>
    <t>PFS100CAB-MW-WIP — WIP Phone Box — Milk White (FlameStop)</t>
  </si>
  <si>
    <t>flamestop pfs100cab-mw-wip wip phone box — milk white</t>
  </si>
  <si>
    <t>PQE90-WIP</t>
  </si>
  <si>
    <t>WIP Phone to Suit QE90 EWIS</t>
  </si>
  <si>
    <t>PQE90-WIP — WIP Phone to Suit QE90 EWIS (FlameStop)</t>
  </si>
  <si>
    <t>flamestop pqe90-wip wip phone to suit qe90 ewis</t>
  </si>
  <si>
    <t>P-FP0938</t>
  </si>
  <si>
    <t>Vigilant WIP Phone (RED) FP0938</t>
  </si>
  <si>
    <t>P-FP0938 — Vigilant WIP Phone (RED) FP0938 (FlameStop)</t>
  </si>
  <si>
    <t>flamestop p-fp0938 vigilant wip phone (red) fp0938</t>
  </si>
  <si>
    <t>P-EA0412</t>
  </si>
  <si>
    <t>WIP Phone Surface Mounting Enclosure EA0412</t>
  </si>
  <si>
    <t>P-EA0412 — WIP Phone Surface Mounting Enclosure EA0412 (FlameStop)</t>
  </si>
  <si>
    <t>flamestop p-ea0412 wip phone surface mounting enclosure ea0412</t>
  </si>
  <si>
    <t>PWIP-SPK</t>
  </si>
  <si>
    <t>External Speaker ONLY for Redback Brand WIP Phone</t>
  </si>
  <si>
    <t>PWIP-SPK — External Speaker ONLY for Redback Brand WIP Phone (FlameStop)</t>
  </si>
  <si>
    <t>flamestop pwip-spk external speaker only for redback brand wip phone</t>
  </si>
  <si>
    <t>WIP-ANGLE</t>
  </si>
  <si>
    <t>WIP Lift Handset to Call Sign</t>
  </si>
  <si>
    <t>WIP-ANGLE — WIP Lift Handset to Call Sign (FlameStop)</t>
  </si>
  <si>
    <t>flamestop wip-angle wip lift handset to call sign</t>
  </si>
  <si>
    <t>WIP-V</t>
  </si>
  <si>
    <t>WIP Lift Handset to Call Sign — Vinyl</t>
  </si>
  <si>
    <t>WIP-V — WIP Lift Handset to Call Sign — Vinyl (FlameStop)</t>
  </si>
  <si>
    <t>flamestop wip-v wip lift handset to call sign — vinyl</t>
  </si>
  <si>
    <t>PDUAL-S</t>
  </si>
  <si>
    <t>Dual Strobes for EWIS System</t>
  </si>
  <si>
    <t>PDUAL-S — Dual Strobes for EWIS System (FlameStop)</t>
  </si>
  <si>
    <t>flamestop pdual-s dual strobes for ewis system</t>
  </si>
  <si>
    <t>PCABWL</t>
  </si>
  <si>
    <t>IP66 UV ABS Cabinet with Stainless Steel Latches</t>
  </si>
  <si>
    <t>PCABWL — IP66 UV ABS Cabinet with Stainless Steel Latches (FlameStop)</t>
  </si>
  <si>
    <t>flamestop pcabwl ip66 uv abs cabinet with stainless steel latches</t>
  </si>
  <si>
    <t>PX-MCP-RED</t>
  </si>
  <si>
    <t>Red Indoor MCP</t>
  </si>
  <si>
    <t>PX-MCP-RED — Red Indoor MCP (FlameStop)</t>
  </si>
  <si>
    <t>flamestop px-mcp-red red indoor mcp</t>
  </si>
  <si>
    <t>PX-MCP-WHITE</t>
  </si>
  <si>
    <t>White Indoor MCP</t>
  </si>
  <si>
    <t>PX-MCP-WHITE — White Indoor MCP (FlameStop)</t>
  </si>
  <si>
    <t>flamestop px-mcp-white white indoor mcp</t>
  </si>
  <si>
    <t>PX-MCP-GREEN</t>
  </si>
  <si>
    <t>Green Indoor MCP</t>
  </si>
  <si>
    <t>PX-MCP-GREEN — Green Indoor MCP (FlameStop)</t>
  </si>
  <si>
    <t>flamestop px-mcp-green green indoor mcp</t>
  </si>
  <si>
    <t>PX-MCP-YELLOW</t>
  </si>
  <si>
    <t>Yellow Indoor MCP</t>
  </si>
  <si>
    <t>PX-MCP-YELLOW — Yellow Indoor MCP (FlameStop)</t>
  </si>
  <si>
    <t>flamestop px-mcp-yellow yellow indoor mcp</t>
  </si>
  <si>
    <t>PX-MCP-FLAP</t>
  </si>
  <si>
    <t>MCP Flap</t>
  </si>
  <si>
    <t>PX-MCP-FLAP — MCP Flap (FlameStop)</t>
  </si>
  <si>
    <t>flamestop px-mcp-flap mcp flap</t>
  </si>
  <si>
    <t>PX-MCP-KEY</t>
  </si>
  <si>
    <t>MCP Key</t>
  </si>
  <si>
    <t>PX-MCP-KEY — MCP Key (FlameStop)</t>
  </si>
  <si>
    <t>flamestop px-mcp-key mcp key</t>
  </si>
  <si>
    <t>PX-MCP-ELEMENT</t>
  </si>
  <si>
    <t>Resettable Plastic Infill Element for MCP</t>
  </si>
  <si>
    <t>PX-MCP-ELEMENT — Resettable Plastic Infill Element for MCP (FlameStop)</t>
  </si>
  <si>
    <t>flamestop px-mcp-element resettable plastic infill element for mcp</t>
  </si>
  <si>
    <t>P-MCP-RT</t>
  </si>
  <si>
    <t>KAC Brand Red Conventional MCP</t>
  </si>
  <si>
    <t>P-MCP-RT — KAC Brand Red Conventional MCP (FlameStop)</t>
  </si>
  <si>
    <t>flamestop p-mcp-rt kac brand red conventional mcp</t>
  </si>
  <si>
    <t>P-KAC-KEY</t>
  </si>
  <si>
    <t>Pack of 10 Spare MCP Keys</t>
  </si>
  <si>
    <t>P-KAC-KEY — Pack of 10 Spare MCP Keys (FlameStop)</t>
  </si>
  <si>
    <t>flamestop p-kac-key pack of 10 spare mcp keys</t>
  </si>
  <si>
    <t>P-MCP-RTFLAP</t>
  </si>
  <si>
    <t>Protective Plastic Flap Cover for KAC MCP — Curved Front</t>
  </si>
  <si>
    <t>P-MCP-RTFLAP — Protective Plastic Flap Cover for KAC MCP — Curved Front (FlameStop)</t>
  </si>
  <si>
    <t>flamestop p-mcp-rtflap protective plastic flap cover for kac mcp — curved front</t>
  </si>
  <si>
    <t>P-KAC-ELEMENT</t>
  </si>
  <si>
    <t>Resettable Plastic Infill Element for KAC MCP</t>
  </si>
  <si>
    <t>P-KAC-ELEMENT — Resettable Plastic Infill Element for KAC MCP (FlameStop)</t>
  </si>
  <si>
    <t>flamestop p-kac-element resettable plastic infill element for kac mcp</t>
  </si>
  <si>
    <t>P-SU0624</t>
  </si>
  <si>
    <t>MCP RED No Back Box Normally Open Simplex Glass SU0624</t>
  </si>
  <si>
    <t>P-SU0624 — MCP RED No Back Box Normally Open Simplex Glass SU0624 (FlameStop)</t>
  </si>
  <si>
    <t>flamestop p-su0624 mcp red no back box normally open simplex glass su0624</t>
  </si>
  <si>
    <t>P-SU0632</t>
  </si>
  <si>
    <t>New MCP KAC RED Manual Call Point Back Box Only SU0632</t>
  </si>
  <si>
    <t>P-SU0632 — New MCP KAC RED Manual Call Point Back Box Only SU0632 (FlameStop)</t>
  </si>
  <si>
    <t>flamestop p-su0632 new mcp kac red manual call point back box only su0632</t>
  </si>
  <si>
    <t>PMCP-GREEN-DPDT</t>
  </si>
  <si>
    <t>Green DP/DT Resettable Manual Call Point</t>
  </si>
  <si>
    <t>PMCP-GREEN-DPDT — Green DP/DT Resettable Manual Call Point (FlameStop)</t>
  </si>
  <si>
    <t>flamestop pmcp-green-dpdt green dp/dt resettable manual call point</t>
  </si>
  <si>
    <t>PXDC-GREEN-DPTP</t>
  </si>
  <si>
    <t>Green Double Pole Manual Call Point — Resettable</t>
  </si>
  <si>
    <t>PXDC-GREEN-DPTP — Green Double Pole Manual Call Point — Resettable (FlameStop)</t>
  </si>
  <si>
    <t>flamestop pxdc-green-dptp green double pole manual call point — resettable</t>
  </si>
  <si>
    <t>P-SU0614</t>
  </si>
  <si>
    <t>MCP Emergency Door Release Double Pole White</t>
  </si>
  <si>
    <t>P-SU0614 — MCP Emergency Door Release Double Pole White (FlameStop)</t>
  </si>
  <si>
    <t>flamestop p-su0614 mcp emergency door release double pole white</t>
  </si>
  <si>
    <t>P-FP1114</t>
  </si>
  <si>
    <t>MCP Emergency Door Release Double Pole Yellow FP1114</t>
  </si>
  <si>
    <t>P-FP1114 — MCP Emergency Door Release Double Pole Yellow FP1114 (FlameStop)</t>
  </si>
  <si>
    <t>flamestop p-fp1114 mcp emergency door release double pole yellow fp1114</t>
  </si>
  <si>
    <t>PSIGN-MCP</t>
  </si>
  <si>
    <t>Sign for MCP — After Activation Call 000</t>
  </si>
  <si>
    <t>PSIGN-MCP — Sign for MCP — After Activation Call 000 (FlameStop)</t>
  </si>
  <si>
    <t>flamestop psign-mcp sign for mcp — after activation call 000</t>
  </si>
  <si>
    <t>P-515.001.033</t>
  </si>
  <si>
    <t>Weather Stopper Break Seal Kit RED 515.001.033</t>
  </si>
  <si>
    <t>P-515.001.033 — Weather Stopper Break Seal Kit RED 515.001.033 (FlameStop)</t>
  </si>
  <si>
    <t>flamestop p-515.001.033 weather stopper break seal kit red 515.001.033</t>
  </si>
  <si>
    <t>P-515.001.035</t>
  </si>
  <si>
    <t>Weather Stopper II Surface Mount STI3150 515.001.035</t>
  </si>
  <si>
    <t>P-515.001.035 — Weather Stopper II Surface Mount STI3150 515.001.035 (FlameStop)</t>
  </si>
  <si>
    <t>flamestop p-515.001.035 weather stopper ii surface mount sti3150 515.001.035</t>
  </si>
  <si>
    <t>P-515.001.032</t>
  </si>
  <si>
    <t>Weather Stopper c/w Sounder 515.001.032</t>
  </si>
  <si>
    <t>P-515.001.032 — Weather Stopper c/w Sounder 515.001.032 (FlameStop)</t>
  </si>
  <si>
    <t>flamestop p-515.001.032 weather stopper c/w sounder 515.001.032</t>
  </si>
  <si>
    <t>P-SU0622</t>
  </si>
  <si>
    <t>IP67 Weatherproof Gasket for SUo612 SU0622</t>
  </si>
  <si>
    <t>P-SU0622 — IP67 Weatherproof Gasket for SUo612 SU0622 (FlameStop)</t>
  </si>
  <si>
    <t>flamestop p-su0622 ip67 weatherproof gasket for suo612 su0622</t>
  </si>
  <si>
    <t>P-FP0331</t>
  </si>
  <si>
    <t>MCP NZ Red Wormald 1841 Clean Contact Surface Mount FP0331</t>
  </si>
  <si>
    <t>P-FP0331 — MCP NZ Red Wormald 1841 Clean Contact Surface Mount FP0331 (FlameStop)</t>
  </si>
  <si>
    <t>flamestop p-fp0331 mcp nz red wormald 1841 clean contact surface mount fp0331</t>
  </si>
  <si>
    <t>P-514.001.109</t>
  </si>
  <si>
    <t>CP220 CALLPOINT I.S 514.001.109</t>
  </si>
  <si>
    <t>P-514.001.109 — CP220 CALLPOINT I.S 514.001.109 (FlameStop)</t>
  </si>
  <si>
    <t>flamestop p-514.001.109 cp220 callpoint i.s 514.001.109</t>
  </si>
  <si>
    <t>Ampac</t>
  </si>
  <si>
    <t>2250-4200</t>
  </si>
  <si>
    <t>ZoneSense 4 Zone (DH4) BX1 ABS Cabinet</t>
  </si>
  <si>
    <t>2250-4200 — ZoneSense 4 Zone (DH4) BX1 ABS Cabinet (Ampac)</t>
  </si>
  <si>
    <t>ampac 2250-4200 zonesense 4 zone (dh4) bx1 abs cabinet</t>
  </si>
  <si>
    <t>2250-4250</t>
  </si>
  <si>
    <t>ZoneSense 4 Zone (DH4) BX10 Metal Cabinet</t>
  </si>
  <si>
    <t>2250-4250 — ZoneSense 4 Zone (DH4) BX10 Metal Cabinet (Ampac)</t>
  </si>
  <si>
    <t>ampac 2250-4250 zonesense 4 zone (dh4) bx10 metal cabinet</t>
  </si>
  <si>
    <t>2550-1100</t>
  </si>
  <si>
    <t>ZoneSense PLUS 4 Zone ABS Inc Batteries</t>
  </si>
  <si>
    <t>2550-1100 — ZoneSense PLUS 4 Zone ABS Inc Batteries (Ampac)</t>
  </si>
  <si>
    <t>ampac 2550-1100 zonesense plus 4 zone abs inc batteries</t>
  </si>
  <si>
    <t>2550-1200</t>
  </si>
  <si>
    <t>ZoneSense PLUS 8 Zone ABS Inc Batteries</t>
  </si>
  <si>
    <t>2550-1200 — ZoneSense PLUS 8 Zone ABS Inc Batteries (Ampac)</t>
  </si>
  <si>
    <t>ampac 2550-1200 zonesense plus 8 zone abs inc batteries</t>
  </si>
  <si>
    <t>2550-2100</t>
  </si>
  <si>
    <t>ZoneSense PLUS 4 Zone ABS with Window Inc Batteries</t>
  </si>
  <si>
    <t>2550-2100 — ZoneSense PLUS 4 Zone ABS with Window Inc Batteries (Ampac)</t>
  </si>
  <si>
    <t>ampac 2550-2100 zonesense plus 4 zone abs with window inc batteries</t>
  </si>
  <si>
    <t>2550-2200</t>
  </si>
  <si>
    <t>ZoneSense PLUS 8 Zone ABS with Window Inc Batteries</t>
  </si>
  <si>
    <t>2550-2200 — ZoneSense PLUS 8 Zone ABS with Window Inc Batteries (Ampac)</t>
  </si>
  <si>
    <t>ampac 2550-2200 zonesense plus 8 zone abs with window inc batteries</t>
  </si>
  <si>
    <t>2553-0410-0100</t>
  </si>
  <si>
    <t>ZoneSense PLUS 4 Zone SP1X Agent Release Inc Batteries</t>
  </si>
  <si>
    <t>2553-0410-0100 — ZoneSense PLUS 4 Zone SP1X Agent Release Inc Batteries (Ampac)</t>
  </si>
  <si>
    <t>ampac 2553-0410-0100 zonesense plus 4 zone sp1x agent release inc batteries</t>
  </si>
  <si>
    <t>2553-0810-0100</t>
  </si>
  <si>
    <t>ZoneSense PLUS 8 Zone SP1X Agent Release Inc Batteries (2x7AH)</t>
  </si>
  <si>
    <t>2553-0810-0100 — ZoneSense PLUS 8 Zone SP1X Agent Release Inc Batteries (2x7AH) (Ampac)</t>
  </si>
  <si>
    <t>ampac 2553-0810-0100 zonesense plus 8 zone sp1x agent release inc batteries (2x7ah)</t>
  </si>
  <si>
    <t>8251-0110</t>
  </si>
  <si>
    <t>LoopSense 1 Loop 3A SP1X Apollo AS7240</t>
  </si>
  <si>
    <t>8251-0110 — LoopSense 1 Loop 3A SP1X Apollo AS7240 (Ampac)</t>
  </si>
  <si>
    <t>ampac 8251-0110 loopsense 1 loop 3a sp1x apollo as7240</t>
  </si>
  <si>
    <t>8251-0210</t>
  </si>
  <si>
    <t>LoopSense 2 Loop 3A SP1X Apollo AS7240</t>
  </si>
  <si>
    <t>8251-0210 — LoopSense 2 Loop 3A SP1X Apollo AS7240 (Ampac)</t>
  </si>
  <si>
    <t>ampac 8251-0210 loopsense 2 loop 3a sp1x apollo as7240</t>
  </si>
  <si>
    <t>8251-0110-1100</t>
  </si>
  <si>
    <t>LoopSense 1 Loop 3A SP1X OWS25 Apollo AS7240</t>
  </si>
  <si>
    <t>8251-0110-1100 — LoopSense 1 Loop 3A SP1X OWS25 Apollo AS7240 (Ampac)</t>
  </si>
  <si>
    <t>ampac 8251-0110-1100 loopsense 1 loop 3a sp1x ows25 apollo as7240</t>
  </si>
  <si>
    <t>8251-0210-1100</t>
  </si>
  <si>
    <t>LoopSense 2 Loop 3A SP1X OWS25 Apollo AS7240</t>
  </si>
  <si>
    <t>8251-0210-1100 — LoopSense 2 Loop 3A SP1X OWS25 Apollo AS7240 (Ampac)</t>
  </si>
  <si>
    <t>ampac 8251-0210-1100 loopsense 2 loop 3a sp1x ows25 apollo as7240</t>
  </si>
  <si>
    <t>8251-0110-1200</t>
  </si>
  <si>
    <t>LoopSense 1 Loop 3A SP1X OWS50 Apollo AS7240</t>
  </si>
  <si>
    <t>8251-0110-1200 — LoopSense 1 Loop 3A SP1X OWS50 Apollo AS7240 (Ampac)</t>
  </si>
  <si>
    <t>ampac 8251-0110-1200 loopsense 1 loop 3a sp1x ows50 apollo as7240</t>
  </si>
  <si>
    <t>8210-0001</t>
  </si>
  <si>
    <t>2nd Loop Activation Key LoopSense</t>
  </si>
  <si>
    <t>8210-0001 — 2nd Loop Activation Key LoopSense (Ampac)</t>
  </si>
  <si>
    <t>ampac 8210-0001 2nd loop activation key loopsense</t>
  </si>
  <si>
    <t>8251-0110-0100</t>
  </si>
  <si>
    <t>LoopSense 1 Loop 3A SP1X Agent Apollo AS7240</t>
  </si>
  <si>
    <t>8251-0110-0100 — LoopSense 1 Loop 3A SP1X Agent Apollo AS7240 (Ampac)</t>
  </si>
  <si>
    <t>ampac 8251-0110-0100 loopsense 1 loop 3a sp1x agent apollo as7240</t>
  </si>
  <si>
    <t>8651-0110</t>
  </si>
  <si>
    <t>FireFinder+ 1 Loop 5A SP1X</t>
  </si>
  <si>
    <t>8651-0110 — FireFinder+ 1 Loop 5A SP1X (Ampac)</t>
  </si>
  <si>
    <t>ampac 8651-0110 firefinder+ 1 loop 5a sp1x</t>
  </si>
  <si>
    <t>8651-0110-0100</t>
  </si>
  <si>
    <t>FireFinder+ 1 Loop 5A Agent SP1</t>
  </si>
  <si>
    <t>8651-0110-0100 — FireFinder+ 1 Loop 5A Agent SP1 (Ampac)</t>
  </si>
  <si>
    <t>ampac 8651-0110-0100 firefinder+ 1 loop 5a agent sp1</t>
  </si>
  <si>
    <t>8651-0110-1100</t>
  </si>
  <si>
    <t>FireFinder+ 1 Loop 5A OWS25 SP1X</t>
  </si>
  <si>
    <t>8651-0110-1100 — FireFinder+ 1 Loop 5A OWS25 SP1X (Ampac)</t>
  </si>
  <si>
    <t>ampac 8651-0110-1100 firefinder+ 1 loop 5a ows25 sp1x</t>
  </si>
  <si>
    <t>8651-0110-1200</t>
  </si>
  <si>
    <t>FireFinder+ 1 Loop OWS50 5A SP1</t>
  </si>
  <si>
    <t>8651-0110-1200 — FireFinder+ 1 Loop OWS50 5A SP1 (Ampac)</t>
  </si>
  <si>
    <t>ampac 8651-0110-1200 firefinder+ 1 loop ows50 5a sp1</t>
  </si>
  <si>
    <t>8651-0113</t>
  </si>
  <si>
    <t>FireFinder+ 1 Loop 5A SP8X</t>
  </si>
  <si>
    <t>8651-0113 — FireFinder+ 1 Loop 5A SP8X (Ampac)</t>
  </si>
  <si>
    <t>ampac 8651-0113 firefinder+ 1 loop 5a sp8x</t>
  </si>
  <si>
    <t>8651-0113-0100</t>
  </si>
  <si>
    <t>FireFinder+ 1 Loop Agent 5A SP8</t>
  </si>
  <si>
    <t>8651-0113-0100 — FireFinder+ 1 Loop Agent 5A SP8 (Ampac)</t>
  </si>
  <si>
    <t>ampac 8651-0113-0100 firefinder+ 1 loop agent 5a sp8</t>
  </si>
  <si>
    <t>8651-0113-1200</t>
  </si>
  <si>
    <t>FireFinder+ 1 Loop OWS50 5A SP8</t>
  </si>
  <si>
    <t>8651-0113-1200 — FireFinder+ 1 Loop OWS50 5A SP8 (Ampac)</t>
  </si>
  <si>
    <t>ampac 8651-0113-1200 firefinder+ 1 loop ows50 5a sp8</t>
  </si>
  <si>
    <t>8653-0810</t>
  </si>
  <si>
    <t>FireFinder+ 8 Zone 5A SP1X</t>
  </si>
  <si>
    <t>8653-0810 — FireFinder+ 8 Zone 5A SP1X (Ampac)</t>
  </si>
  <si>
    <t>ampac 8653-0810 firefinder+ 8 zone 5a sp1x</t>
  </si>
  <si>
    <t>8653-0810-1100</t>
  </si>
  <si>
    <t>FireFinder+ 8 Zone OWS25 5A SP1</t>
  </si>
  <si>
    <t>8653-0810-1100 — FireFinder+ 8 Zone OWS25 5A SP1 (Ampac)</t>
  </si>
  <si>
    <t>ampac 8653-0810-1100 firefinder+ 8 zone ows25 5a sp1</t>
  </si>
  <si>
    <t>8653-0810-1200</t>
  </si>
  <si>
    <t>FireFinder+ 8 Zone OWS50 5A SP1</t>
  </si>
  <si>
    <t>8653-0810-1200 — FireFinder+ 8 Zone OWS50 5A SP1 (Ampac)</t>
  </si>
  <si>
    <t>ampac 8653-0810-1200 firefinder+ 8 zone ows50 5a sp1</t>
  </si>
  <si>
    <t>8653-0813</t>
  </si>
  <si>
    <t>FireFinder+ 8 Zone 5A SP8X</t>
  </si>
  <si>
    <t>8653-0813 — FireFinder+ 8 Zone 5A SP8X (Ampac)</t>
  </si>
  <si>
    <t>ampac 8653-0813 firefinder+ 8 zone 5a sp8x</t>
  </si>
  <si>
    <t>8653-0813-1200</t>
  </si>
  <si>
    <t>FireFinder+ 8 Zone OWS50 5A SP8</t>
  </si>
  <si>
    <t>8653-0813-1200 — FireFinder+ 8 Zone OWS50 5A SP8 (Ampac)</t>
  </si>
  <si>
    <t>ampac 8653-0813-1200 firefinder+ 8 zone ows50 5a sp8</t>
  </si>
  <si>
    <t>4210-0040</t>
  </si>
  <si>
    <t>Battery Cab for SP1X/SP1M (Surfmist)</t>
  </si>
  <si>
    <t>4210-0040 — Battery Cab for SP1X/SP1M (Surfmist) (Ampac)</t>
  </si>
  <si>
    <t>ampac 4210-0040 battery cab for sp1x/sp1m (surfmist)</t>
  </si>
  <si>
    <t>4210-0041</t>
  </si>
  <si>
    <t>Battery Cab for FFP/LoopSense SP8X (Surfmist)</t>
  </si>
  <si>
    <t>4210-0041 — Battery Cab for FFP/LoopSense SP8X (Surfmist) (Ampac)</t>
  </si>
  <si>
    <t>ampac 4210-0041 battery cab for ffp/loopsense sp8x (surfmist)</t>
  </si>
  <si>
    <t>4210-0042</t>
  </si>
  <si>
    <t>SP1X/M Cabinet Surround Surfmist</t>
  </si>
  <si>
    <t>4210-0042 — SP1X/M Cabinet Surround Surfmist (Ampac)</t>
  </si>
  <si>
    <t>ampac 4210-0042 sp1x/m cabinet surround surfmist</t>
  </si>
  <si>
    <t>4210-0044</t>
  </si>
  <si>
    <t>SP8X Cabinet Surround Surfmist</t>
  </si>
  <si>
    <t>4210-0044 — SP8X Cabinet Surround Surfmist (Ampac)</t>
  </si>
  <si>
    <t>ampac 4210-0044 sp8x cabinet surround surfmist</t>
  </si>
  <si>
    <t>4210-0045</t>
  </si>
  <si>
    <t>SP8X and Battery Cabinet Surround Surfmist</t>
  </si>
  <si>
    <t>4210-0045 — SP8X and Battery Cabinet Surround Surfmist (Ampac)</t>
  </si>
  <si>
    <t>ampac 4210-0045 sp8x and battery cabinet surround surfmist</t>
  </si>
  <si>
    <t>6350-HPA150W-CSO</t>
  </si>
  <si>
    <t>EvacU Elite 150W HPA Card</t>
  </si>
  <si>
    <t>6350-HPA150W-CSO — EvacU Elite 150W HPA Card (Ampac)</t>
  </si>
  <si>
    <t>ampac 6350-hpa150w-cso evacu elite 150w hpa card</t>
  </si>
  <si>
    <t>6350-LPA25W-DUAL-CSO</t>
  </si>
  <si>
    <t>EvacU Elite Dual 25W Amplifier LPA Card</t>
  </si>
  <si>
    <t>6350-LPA25W-DUAL-CSO — EvacU Elite Dual 25W Amplifier LPA Card (Ampac)</t>
  </si>
  <si>
    <t>ampac 6350-lpa25w-dual-cso evacu elite dual 25w amplifier lpa card</t>
  </si>
  <si>
    <t>6350-LPA50W-CSO</t>
  </si>
  <si>
    <t>EvacU Elite 50W LPA Card</t>
  </si>
  <si>
    <t>6350-LPA50W-CSO — EvacU Elite 50W LPA Card (Ampac)</t>
  </si>
  <si>
    <t>ampac 6350-lpa50w-cso evacu elite 50w lpa card</t>
  </si>
  <si>
    <t>ASS63LWIPS</t>
  </si>
  <si>
    <t>EvacU Elite Loop WIP</t>
  </si>
  <si>
    <t>ASS63LWIPS — EvacU Elite Loop WIP (Ampac)</t>
  </si>
  <si>
    <t>ampac ass63lwips evacu elite loop wip</t>
  </si>
  <si>
    <t>ASS63WIPS</t>
  </si>
  <si>
    <t>EvacU Elite Radial WIP</t>
  </si>
  <si>
    <t>ASS63WIPS — EvacU Elite Radial WIP (Ampac)</t>
  </si>
  <si>
    <t>ampac ass63wips evacu elite radial wip</t>
  </si>
  <si>
    <t>6010-0001</t>
  </si>
  <si>
    <t>OWS 50W Amplifier</t>
  </si>
  <si>
    <t>6010-0001 — OWS 50W Amplifier (Ampac)</t>
  </si>
  <si>
    <t>ampac 6010-0001 ows 50w amplifier</t>
  </si>
  <si>
    <t>6010-0002</t>
  </si>
  <si>
    <t>OWS 25W Amplifier</t>
  </si>
  <si>
    <t>6010-0002 — OWS 25W Amplifier (Ampac)</t>
  </si>
  <si>
    <t>ampac 6010-0002 ows 25w amplifier</t>
  </si>
  <si>
    <t>6010-0018</t>
  </si>
  <si>
    <t>OWS Indicator &amp; Controls</t>
  </si>
  <si>
    <t>6010-0018 — OWS Indicator &amp; Controls (Ampac)</t>
  </si>
  <si>
    <t>ampac 6010-0018 ows indicator &amp; controls</t>
  </si>
  <si>
    <t>6050-0010-0800</t>
  </si>
  <si>
    <t>EvacU EWCIE 4x50W (200W) 10A</t>
  </si>
  <si>
    <t>6050-0010-0800 — EvacU EWCIE 4x50W (200W) 10A (Ampac)</t>
  </si>
  <si>
    <t>ampac 6050-0010-0800 evacu ewcie 4x50w (200w) 10a</t>
  </si>
  <si>
    <t>6050-0010-1100</t>
  </si>
  <si>
    <t>EvacU EWCIE 25W 3A</t>
  </si>
  <si>
    <t>6050-0010-1100 — EvacU EWCIE 25W 3A (Ampac)</t>
  </si>
  <si>
    <t>ampac 6050-0010-1100 evacu ewcie 25w 3a</t>
  </si>
  <si>
    <t>6050-0010-1200</t>
  </si>
  <si>
    <t>EvacU EWCIE 50W 3A</t>
  </si>
  <si>
    <t>6050-0010-1200 — EvacU EWCIE 50W 3A (Ampac)</t>
  </si>
  <si>
    <t>ampac 6050-0010-1200 evacu ewcie 50w 3a</t>
  </si>
  <si>
    <t>6050-0010-1400</t>
  </si>
  <si>
    <t>EvacU EWCIE 2x50W (100W) 5A</t>
  </si>
  <si>
    <t>6050-0010-1400 — EvacU EWCIE 2x50W (100W) 5A (Ampac)</t>
  </si>
  <si>
    <t>ampac 6050-0010-1400 evacu ewcie 2x50w (100w) 5a</t>
  </si>
  <si>
    <t>6050-0010-1500</t>
  </si>
  <si>
    <t>EvacU EWCIE 3x50W (150W) 10A</t>
  </si>
  <si>
    <t>6050-0010-1500 — EvacU EWCIE 3x50W (150W) 10A (Ampac)</t>
  </si>
  <si>
    <t>ampac 6050-0010-1500 evacu ewcie 3x50w (150w) 10a</t>
  </si>
  <si>
    <t>4106-1001</t>
  </si>
  <si>
    <t>Series 65 Optical Smoke Detector</t>
  </si>
  <si>
    <t>4106-1001 — Series 65 Optical Smoke Detector (Ampac)</t>
  </si>
  <si>
    <t>ampac 4106-1001 series 65 optical smoke detector</t>
  </si>
  <si>
    <t>4106-1004</t>
  </si>
  <si>
    <t>Series 65 A1R Heat Detector</t>
  </si>
  <si>
    <t>4106-1004 — Series 65 A1R Heat Detector (Ampac)</t>
  </si>
  <si>
    <t>ampac 4106-1004 series 65 a1r heat detector</t>
  </si>
  <si>
    <t>4106-1005</t>
  </si>
  <si>
    <t>Series 65 BR Heat Detector</t>
  </si>
  <si>
    <t>4106-1005 — Series 65 BR Heat Detector (Ampac)</t>
  </si>
  <si>
    <t>ampac 4106-1005 series 65 br heat detector</t>
  </si>
  <si>
    <t>4106-1006</t>
  </si>
  <si>
    <t>Series 65 CR Heat Detector</t>
  </si>
  <si>
    <t>4106-1006 — Series 65 CR Heat Detector (Ampac)</t>
  </si>
  <si>
    <t>ampac 4106-1006 series 65 cr heat detector</t>
  </si>
  <si>
    <t>4106-1007</t>
  </si>
  <si>
    <t>Series 65 CS Heat Detector</t>
  </si>
  <si>
    <t>4106-1007 — Series 65 CS Heat Detector (Ampac)</t>
  </si>
  <si>
    <t>ampac 4106-1007 series 65 cs heat detector</t>
  </si>
  <si>
    <t>4106-1008</t>
  </si>
  <si>
    <t>Standard Base Series 65</t>
  </si>
  <si>
    <t>4106-1008 — Standard Base Series 65 (Ampac)</t>
  </si>
  <si>
    <t>ampac 4106-1008 standard base series 65</t>
  </si>
  <si>
    <t>202-0023</t>
  </si>
  <si>
    <t>Thermal Type B Sealed Cool Rm Detector (Hoc)</t>
  </si>
  <si>
    <t>202-0023 — Thermal Type B Sealed Cool Rm Detector (Hoc) (Ampac)</t>
  </si>
  <si>
    <t>ampac 202-0023 thermal type b sealed cool rm detector (hoc)</t>
  </si>
  <si>
    <t>223-0002</t>
  </si>
  <si>
    <t>Type E Heat Detector (Dual Thread)</t>
  </si>
  <si>
    <t>223-0002 — Type E Heat Detector (Dual Thread) (Ampac)</t>
  </si>
  <si>
    <t>ampac 223-0002 type e heat detector (dual thread)</t>
  </si>
  <si>
    <t>4105-1011</t>
  </si>
  <si>
    <t>ACP-06 Red Surface Mount (Fire Symbol) Conv MCP</t>
  </si>
  <si>
    <t>4105-1011 — ACP-06 Red Surface Mount (Fire Symbol) Conv MCP (Ampac)</t>
  </si>
  <si>
    <t>ampac 4105-1011 acp-06 red surface mount (fire symbol) conv mcp</t>
  </si>
  <si>
    <t>4105-1012</t>
  </si>
  <si>
    <t>ACP-06 Yellow Surface Mount Agent Release Conv MCP</t>
  </si>
  <si>
    <t>4105-1012 — ACP-06 Yellow Surface Mount Agent Release Conv MCP (Ampac)</t>
  </si>
  <si>
    <t>ampac 4105-1012 acp-06 yellow surface mount agent release conv mcp</t>
  </si>
  <si>
    <t>4105-1013</t>
  </si>
  <si>
    <t>ACP-06 White Surface Mount Emergency Alarm Conv MCP</t>
  </si>
  <si>
    <t>4105-1013 — ACP-06 White Surface Mount Emergency Alarm Conv MCP (Ampac)</t>
  </si>
  <si>
    <t>ampac 4105-1013 acp-06 white surface mount emergency alarm conv mcp</t>
  </si>
  <si>
    <t>4105-1014</t>
  </si>
  <si>
    <t>ACP-06 Green Surface Mount Door Release Conv MCP</t>
  </si>
  <si>
    <t>4105-1014 — ACP-06 Green Surface Mount Door Release Conv MCP (Ampac)</t>
  </si>
  <si>
    <t>ampac 4105-1014 acp-06 green surface mount door release conv mcp</t>
  </si>
  <si>
    <t>4105-1015</t>
  </si>
  <si>
    <t>ACP-06 Blue Surface Mount Conv MCP</t>
  </si>
  <si>
    <t>4105-1015 — ACP-06 Blue Surface Mount Conv MCP (Ampac)</t>
  </si>
  <si>
    <t>ampac 4105-1015 acp-06 blue surface mount conv mcp</t>
  </si>
  <si>
    <t>4105-1017</t>
  </si>
  <si>
    <t>ACP-06 Dual Pole Green MCP Flush/Surface Indoor</t>
  </si>
  <si>
    <t>4105-1017 — ACP-06 Dual Pole Green MCP Flush/Surface Indoor (Ampac)</t>
  </si>
  <si>
    <t>ampac 4105-1017 acp-06 dual pole green mcp flush/surface indoor</t>
  </si>
  <si>
    <t>4105-1018</t>
  </si>
  <si>
    <t>ACP-06 White Surface Mount Evacuate Conv MCP</t>
  </si>
  <si>
    <t>4105-1018 — ACP-06 White Surface Mount Evacuate Conv MCP (Ampac)</t>
  </si>
  <si>
    <t>ampac 4105-1018 acp-06 white surface mount evacuate conv mcp</t>
  </si>
  <si>
    <t>4105-1021</t>
  </si>
  <si>
    <t>ACP-06 Red Flush Mount (Fire Symbol) Conv MCP</t>
  </si>
  <si>
    <t>4105-1021 — ACP-06 Red Flush Mount (Fire Symbol) Conv MCP (Ampac)</t>
  </si>
  <si>
    <t>ampac 4105-1021 acp-06 red flush mount (fire symbol) conv mcp</t>
  </si>
  <si>
    <t>4105-1004</t>
  </si>
  <si>
    <t>ACP-06 Safety Cover with text Lift to Operate</t>
  </si>
  <si>
    <t>4105-1004 — ACP-06 Safety Cover with text Lift to Operate (Ampac)</t>
  </si>
  <si>
    <t>ampac 4105-1004 acp-06 safety cover with text lift to operate</t>
  </si>
  <si>
    <t>4105-1005</t>
  </si>
  <si>
    <t>ACP-06 Safety Cover No Text</t>
  </si>
  <si>
    <t>4105-1005 — ACP-06 Safety Cover No Text (Ampac)</t>
  </si>
  <si>
    <t>ampac 4105-1005 acp-06 safety cover no text</t>
  </si>
  <si>
    <t>4105-1006</t>
  </si>
  <si>
    <t>ACP-06 Test Keys (pack of 10)</t>
  </si>
  <si>
    <t>4105-1006 — ACP-06 Test Keys (pack of 10) (Ampac)</t>
  </si>
  <si>
    <t>ampac 4105-1006 acp-06 test keys (pack of 10)</t>
  </si>
  <si>
    <t>4105-1031</t>
  </si>
  <si>
    <t>ACP-07 Waterproof Red (Fire Symbol) Conv MCP</t>
  </si>
  <si>
    <t>4105-1031 — ACP-07 Waterproof Red (Fire Symbol) Conv MCP (Ampac)</t>
  </si>
  <si>
    <t>ampac 4105-1031 acp-07 waterproof red (fire symbol) conv mcp</t>
  </si>
  <si>
    <t>4105-1032</t>
  </si>
  <si>
    <t>ACP-07 Waterproof Yellow Conv MCP</t>
  </si>
  <si>
    <t>4105-1032 — ACP-07 Waterproof Yellow Conv MCP (Ampac)</t>
  </si>
  <si>
    <t>ampac 4105-1032 acp-07 waterproof yellow conv mcp</t>
  </si>
  <si>
    <t>4105-1033</t>
  </si>
  <si>
    <t>ACP-07 Waterproof White Emergency Alarm Conv MCP</t>
  </si>
  <si>
    <t>4105-1033 — ACP-07 Waterproof White Emergency Alarm Conv MCP (Ampac)</t>
  </si>
  <si>
    <t>ampac 4105-1033 acp-07 waterproof white emergency alarm conv mcp</t>
  </si>
  <si>
    <t>4105-1034</t>
  </si>
  <si>
    <t>ACP-07 Waterproof Green Conv MCP</t>
  </si>
  <si>
    <t>4105-1034 — ACP-07 Waterproof Green Conv MCP (Ampac)</t>
  </si>
  <si>
    <t>ampac 4105-1034 acp-07 waterproof green conv mcp</t>
  </si>
  <si>
    <t>4105-1038</t>
  </si>
  <si>
    <t>ACP-07 Waterproof White Evacuate Conv MCP</t>
  </si>
  <si>
    <t>4105-1038 — ACP-07 Waterproof White Evacuate Conv MCP (Ampac)</t>
  </si>
  <si>
    <t>ampac 4105-1038 acp-07 waterproof white evacuate conv mcp</t>
  </si>
  <si>
    <t>214-0052</t>
  </si>
  <si>
    <t>Orbis Duct Sampling Unit inc Detector Base (Conv)</t>
  </si>
  <si>
    <t>214-0052 — Orbis Duct Sampling Unit inc Detector Base (Conv) (Ampac)</t>
  </si>
  <si>
    <t>ampac 214-0052 orbis duct sampling unit inc detector base (conv)</t>
  </si>
  <si>
    <t>214-0060</t>
  </si>
  <si>
    <t>Duct Probe 300–750mm Sampling Pipe</t>
  </si>
  <si>
    <t>214-0060 — Duct Probe 300–750mm Sampling Pipe (Ampac)</t>
  </si>
  <si>
    <t>ampac 214-0060 duct probe 300–750mm sampling pipe</t>
  </si>
  <si>
    <t>214-0061</t>
  </si>
  <si>
    <t>Duct Probe 750–1500mm Sampling Pipe</t>
  </si>
  <si>
    <t>214-0061 — Duct Probe 750–1500mm Sampling Pipe (Ampac)</t>
  </si>
  <si>
    <t>ampac 214-0061 duct probe 750–1500mm sampling pipe</t>
  </si>
  <si>
    <t>214-0062</t>
  </si>
  <si>
    <t>Duct Probe 1500–3000mm Sampling Pipe</t>
  </si>
  <si>
    <t>214-0062 — Duct Probe 1500–3000mm Sampling Pipe (Ampac)</t>
  </si>
  <si>
    <t>ampac 214-0062 duct probe 1500–3000mm sampling pipe</t>
  </si>
  <si>
    <t>214-0051</t>
  </si>
  <si>
    <t>Duct Sampling Unit inc XP95 Detector Base (AA)</t>
  </si>
  <si>
    <t>214-0051 — Duct Sampling Unit inc XP95 Detector Base (AA) (Ampac)</t>
  </si>
  <si>
    <t>ampac 214-0051 duct sampling unit inc xp95 detector base (aa)</t>
  </si>
  <si>
    <t>4109-1003</t>
  </si>
  <si>
    <t>Conventional Beam System (Supports 2 Heads)</t>
  </si>
  <si>
    <t>4109-1003 — Conventional Beam System (Supports 2 Heads) (Ampac)</t>
  </si>
  <si>
    <t>ampac 4109-1003 conventional beam system (supports 2 heads)</t>
  </si>
  <si>
    <t>4109-1004</t>
  </si>
  <si>
    <t>Addressable Beam System</t>
  </si>
  <si>
    <t>4109-1004 — Addressable Beam System (Ampac)</t>
  </si>
  <si>
    <t>ampac 4109-1004 addressable beam system</t>
  </si>
  <si>
    <t>4109-1005</t>
  </si>
  <si>
    <t>Fireray One (EN)</t>
  </si>
  <si>
    <t>4109-1005 — Fireray One (EN) (Ampac)</t>
  </si>
  <si>
    <t>ampac 4109-1005 fireray one (en)</t>
  </si>
  <si>
    <t>220-0007</t>
  </si>
  <si>
    <t>Reflective Prism</t>
  </si>
  <si>
    <t>220-0007 — Reflective Prism (Ampac)</t>
  </si>
  <si>
    <t>ampac 220-0007 reflective prism</t>
  </si>
  <si>
    <t>220-0009</t>
  </si>
  <si>
    <t>Detector &amp; Reflective Prism</t>
  </si>
  <si>
    <t>220-0009 — Detector &amp; Reflective Prism (Ampac)</t>
  </si>
  <si>
    <t>ampac 220-0009 detector &amp; reflective prism</t>
  </si>
  <si>
    <t>220-0010</t>
  </si>
  <si>
    <t>Long Range Reflective Prism Kit (100m)</t>
  </si>
  <si>
    <t>220-0010 — Long Range Reflective Prism Kit (100m) (Ampac)</t>
  </si>
  <si>
    <t>ampac 220-0010 long range reflective prism kit (100m)</t>
  </si>
  <si>
    <t>220-0011</t>
  </si>
  <si>
    <t>Universal Bracket for Detector</t>
  </si>
  <si>
    <t>220-0011 — Universal Bracket for Detector (Ampac)</t>
  </si>
  <si>
    <t>ampac 220-0011 universal bracket for detector</t>
  </si>
  <si>
    <t>220-0015</t>
  </si>
  <si>
    <t>Detector Protective Cage</t>
  </si>
  <si>
    <t>220-0015 — Detector Protective Cage (Ampac)</t>
  </si>
  <si>
    <t>ampac 220-0015 detector protective cage</t>
  </si>
  <si>
    <t>4106-2001</t>
  </si>
  <si>
    <t>XP95 Optical Smoke Detector</t>
  </si>
  <si>
    <t>4106-2001 — XP95 Optical Smoke Detector (Ampac)</t>
  </si>
  <si>
    <t>ampac 4106-2001 xp95 optical smoke detector</t>
  </si>
  <si>
    <t>4106-2010</t>
  </si>
  <si>
    <t>XP95 Optical (Black) Smoke Detector</t>
  </si>
  <si>
    <t>4106-2010 — XP95 Optical (Black) Smoke Detector (Ampac)</t>
  </si>
  <si>
    <t>ampac 4106-2010 xp95 optical (black) smoke detector</t>
  </si>
  <si>
    <t>4106-2003</t>
  </si>
  <si>
    <t>XP95 Heat Detector A2S</t>
  </si>
  <si>
    <t>4106-2003 — XP95 Heat Detector A2S (Ampac)</t>
  </si>
  <si>
    <t>ampac 4106-2003 xp95 heat detector a2s</t>
  </si>
  <si>
    <t>4106-2015</t>
  </si>
  <si>
    <t>XP95 Heat A2S (Black) Detector</t>
  </si>
  <si>
    <t>4106-2015 — XP95 Heat A2S (Black) Detector (Ampac)</t>
  </si>
  <si>
    <t>ampac 4106-2015 xp95 heat a2s (black) detector</t>
  </si>
  <si>
    <t>4106-2005</t>
  </si>
  <si>
    <t>Discovery Optical Smoke Detector</t>
  </si>
  <si>
    <t>4106-2005 — Discovery Optical Smoke Detector (Ampac)</t>
  </si>
  <si>
    <t>ampac 4106-2005 discovery optical smoke detector</t>
  </si>
  <si>
    <t>4106-2007</t>
  </si>
  <si>
    <t>Discovery Heat Detector</t>
  </si>
  <si>
    <t>4106-2007 — Discovery Heat Detector (Ampac)</t>
  </si>
  <si>
    <t>ampac 4106-2007 discovery heat detector</t>
  </si>
  <si>
    <t>4106-2008</t>
  </si>
  <si>
    <t>Discovery Multisensor Detector</t>
  </si>
  <si>
    <t>4106-2008 — Discovery Multisensor Detector (Ampac)</t>
  </si>
  <si>
    <t>ampac 4106-2008 discovery multisensor detector</t>
  </si>
  <si>
    <t>4106-2014</t>
  </si>
  <si>
    <t>Discovery Multisensor (Black) Detector</t>
  </si>
  <si>
    <t>4106-2014 — Discovery Multisensor (Black) Detector (Ampac)</t>
  </si>
  <si>
    <t>ampac 4106-2014 discovery multisensor (black) detector</t>
  </si>
  <si>
    <t>4106-2009</t>
  </si>
  <si>
    <t>Discovery CO/Heat Multisensor Detector</t>
  </si>
  <si>
    <t>4106-2009 — Discovery CO/Heat Multisensor Detector (Ampac)</t>
  </si>
  <si>
    <t>ampac 4106-2009 discovery co/heat multisensor detector</t>
  </si>
  <si>
    <t>201-0102</t>
  </si>
  <si>
    <t>Discovery Carbon Monoxide Detector</t>
  </si>
  <si>
    <t>201-0102 — Discovery Carbon Monoxide Detector (Ampac)</t>
  </si>
  <si>
    <t>ampac 201-0102 discovery carbon monoxide detector</t>
  </si>
  <si>
    <t>201-0004</t>
  </si>
  <si>
    <t>XP95/Discovery Detector Base with Xpert Card</t>
  </si>
  <si>
    <t>201-0004 — XP95/Discovery Detector Base with Xpert Card (Ampac)</t>
  </si>
  <si>
    <t>ampac 201-0004 xp95/discovery detector base with xpert card</t>
  </si>
  <si>
    <t>201-0125</t>
  </si>
  <si>
    <t>XP95/Discovery Isolating Base with Xpert Card</t>
  </si>
  <si>
    <t>201-0125 — XP95/Discovery Isolating Base with Xpert Card (Ampac)</t>
  </si>
  <si>
    <t>ampac 201-0125 xp95/discovery isolating base with xpert card</t>
  </si>
  <si>
    <t>201-0093</t>
  </si>
  <si>
    <t>XP95 Detector Base (Black) with Xpert Card</t>
  </si>
  <si>
    <t>201-0093 — XP95 Detector Base (Black) with Xpert Card (Ampac)</t>
  </si>
  <si>
    <t>ampac 201-0093 xp95 detector base (black) with xpert card</t>
  </si>
  <si>
    <t>4105-2005</t>
  </si>
  <si>
    <t>Intelligent MCP Red Indoor</t>
  </si>
  <si>
    <t>4105-2005 — Intelligent MCP Red Indoor (Ampac)</t>
  </si>
  <si>
    <t>ampac 4105-2005 intelligent mcp red indoor</t>
  </si>
  <si>
    <t>4105-2006</t>
  </si>
  <si>
    <t>XP95 Orange MCP Indoor</t>
  </si>
  <si>
    <t>4105-2006 — XP95 Orange MCP Indoor (Ampac)</t>
  </si>
  <si>
    <t>ampac 4105-2006 xp95 orange mcp indoor</t>
  </si>
  <si>
    <t>4105-2007</t>
  </si>
  <si>
    <t>XP95 White MCP Indoor</t>
  </si>
  <si>
    <t>4105-2007 — XP95 White MCP Indoor (Ampac)</t>
  </si>
  <si>
    <t>ampac 4105-2007 xp95 white mcp indoor</t>
  </si>
  <si>
    <t>4105-2008</t>
  </si>
  <si>
    <t>XP95 Yellow MCP Indoor</t>
  </si>
  <si>
    <t>4105-2008 — XP95 Yellow MCP Indoor (Ampac)</t>
  </si>
  <si>
    <t>ampac 4105-2008 xp95 yellow mcp indoor</t>
  </si>
  <si>
    <t>4105-2010</t>
  </si>
  <si>
    <t>XP95 Green MCP Indoor</t>
  </si>
  <si>
    <t>4105-2010 — XP95 Green MCP Indoor (Ampac)</t>
  </si>
  <si>
    <t>ampac 4105-2010 xp95 green mcp indoor</t>
  </si>
  <si>
    <t>4105-2002</t>
  </si>
  <si>
    <t>Waterproof MCP with Isolator (Red)</t>
  </si>
  <si>
    <t>4105-2002 — Waterproof MCP with Isolator (Red) (Ampac)</t>
  </si>
  <si>
    <t>ampac 4105-2002 waterproof mcp with isolator (red)</t>
  </si>
  <si>
    <t>4105-2003</t>
  </si>
  <si>
    <t>Transparent Covers for MCPs (4105-2001/2002/2005)</t>
  </si>
  <si>
    <t>4105-2003 — Transparent Covers for MCPs (4105-2001/2002/2005) (Ampac)</t>
  </si>
  <si>
    <t>ampac 4105-2003 transparent covers for mcps (4105-2001/2002/2005)</t>
  </si>
  <si>
    <t>4105-2004</t>
  </si>
  <si>
    <t>Pack of 10 Reset Keys</t>
  </si>
  <si>
    <t>4105-2004 — Pack of 10 Reset Keys (Ampac)</t>
  </si>
  <si>
    <t>ampac 4105-2004 pack of 10 reset keys</t>
  </si>
  <si>
    <t>213-0051</t>
  </si>
  <si>
    <t>XP95 KAC MCP c/w Isolator Red Surface</t>
  </si>
  <si>
    <t>213-0051 — XP95 KAC MCP c/w Isolator Red Surface (Ampac)</t>
  </si>
  <si>
    <t>ampac 213-0051 xp95 kac mcp c/w isolator red surface</t>
  </si>
  <si>
    <t>213-0066</t>
  </si>
  <si>
    <t>Discovery Waterproof MCP Red (KAC)</t>
  </si>
  <si>
    <t>213-0066 — Discovery Waterproof MCP Red (KAC) (Ampac)</t>
  </si>
  <si>
    <t>ampac 213-0066 discovery waterproof mcp red (kac)</t>
  </si>
  <si>
    <t>213-0064</t>
  </si>
  <si>
    <t>Transparent Hinged Cover for KAC MCP</t>
  </si>
  <si>
    <t>213-0064 — Transparent Hinged Cover for KAC MCP (Ampac)</t>
  </si>
  <si>
    <t>ampac 213-0064 transparent hinged cover for kac mcp</t>
  </si>
  <si>
    <t>4210-0151</t>
  </si>
  <si>
    <t>Single Input/Output Module</t>
  </si>
  <si>
    <t>4210-0151 — Single Input/Output Module (Ampac)</t>
  </si>
  <si>
    <t>ampac 4210-0151 single input/output module</t>
  </si>
  <si>
    <t>4210-0152</t>
  </si>
  <si>
    <t>Dual Input/Output Module</t>
  </si>
  <si>
    <t>4210-0152 — Dual Input/Output Module (Ampac)</t>
  </si>
  <si>
    <t>ampac 4210-0152 dual input/output module</t>
  </si>
  <si>
    <t>4210-0153</t>
  </si>
  <si>
    <t>Triple Input/Output Module</t>
  </si>
  <si>
    <t>4210-0153 — Triple Input/Output Module (Ampac)</t>
  </si>
  <si>
    <t>ampac 4210-0153 triple input/output module</t>
  </si>
  <si>
    <t>4210-0050</t>
  </si>
  <si>
    <t>Single I/O Device DIN Mount</t>
  </si>
  <si>
    <t>4210-0050 — Single I/O Device DIN Mount (Ampac)</t>
  </si>
  <si>
    <t>ampac 4210-0050 single i/o device din mount</t>
  </si>
  <si>
    <t>4210-0051</t>
  </si>
  <si>
    <t>Single I/O Device Enclosed</t>
  </si>
  <si>
    <t>4210-0051 — Single I/O Device Enclosed (Ampac)</t>
  </si>
  <si>
    <t>ampac 4210-0051 single i/o device enclosed</t>
  </si>
  <si>
    <t>4210-0052</t>
  </si>
  <si>
    <t>Single Input Device DIN Mount</t>
  </si>
  <si>
    <t>4210-0052 — Single Input Device DIN Mount (Ampac)</t>
  </si>
  <si>
    <t>ampac 4210-0052 single input device din mount</t>
  </si>
  <si>
    <t>4210-0053</t>
  </si>
  <si>
    <t>Single Input Device Enclosed</t>
  </si>
  <si>
    <t>4210-0053 — Single Input Device Enclosed (Ampac)</t>
  </si>
  <si>
    <t>ampac 4210-0053 single input device enclosed</t>
  </si>
  <si>
    <t>4210-0054</t>
  </si>
  <si>
    <t>Three I/O Device DIN Mount</t>
  </si>
  <si>
    <t>4210-0054 — Three I/O Device DIN Mount (Ampac)</t>
  </si>
  <si>
    <t>ampac 4210-0054 three i/o device din mount</t>
  </si>
  <si>
    <t>4210-0055</t>
  </si>
  <si>
    <t>Three I/O Device Enclosed</t>
  </si>
  <si>
    <t>4210-0055 — Three I/O Device Enclosed (Ampac)</t>
  </si>
  <si>
    <t>ampac 4210-0055 three i/o device enclosed</t>
  </si>
  <si>
    <t>4210-0058</t>
  </si>
  <si>
    <t>Zone Interface Device DIN Mount</t>
  </si>
  <si>
    <t>4210-0058 — Zone Interface Device DIN Mount (Ampac)</t>
  </si>
  <si>
    <t>ampac 4210-0058 zone interface device din mount</t>
  </si>
  <si>
    <t>4210-0059</t>
  </si>
  <si>
    <t>Zone Interface Device Enclosed</t>
  </si>
  <si>
    <t>4210-0059 — Zone Interface Device Enclosed (Ampac)</t>
  </si>
  <si>
    <t>ampac 4210-0059 zone interface device enclosed</t>
  </si>
  <si>
    <t>4210-0034</t>
  </si>
  <si>
    <t>ABS Ancillary Interface Enclosure</t>
  </si>
  <si>
    <t>4210-0034 — ABS Ancillary Interface Enclosure (Ampac)</t>
  </si>
  <si>
    <t>ampac 4210-0034 abs ancillary interface enclosure</t>
  </si>
  <si>
    <t>4210-0035</t>
  </si>
  <si>
    <t>Ancillary Interface Enclosure Surf Mist Mild Steel</t>
  </si>
  <si>
    <t>4210-0035 — Ancillary Interface Enclosure Surf Mist Mild Steel (Ampac)</t>
  </si>
  <si>
    <t>ampac 4210-0035 ancillary interface enclosure surf mist mild steel</t>
  </si>
  <si>
    <t>4210-0036</t>
  </si>
  <si>
    <t>Fire Alarm Interface Box IF2</t>
  </si>
  <si>
    <t>4210-0036 — Fire Alarm Interface Box IF2 (Ampac)</t>
  </si>
  <si>
    <t>ampac 4210-0036 fire alarm interface box if2</t>
  </si>
  <si>
    <t>4210-0037</t>
  </si>
  <si>
    <t>Fire Alarm Interface Box IF4</t>
  </si>
  <si>
    <t>4210-0037 — Fire Alarm Interface Box IF4 (Ampac)</t>
  </si>
  <si>
    <t>ampac 4210-0037 fire alarm interface box if4</t>
  </si>
  <si>
    <t>4210-0038</t>
  </si>
  <si>
    <t>Fire Alarm Interface Box IF9</t>
  </si>
  <si>
    <t>4210-0038 — Fire Alarm Interface Box IF9 (Ampac)</t>
  </si>
  <si>
    <t>ampac 4210-0038 fire alarm interface box if9</t>
  </si>
  <si>
    <t>4210-0039</t>
  </si>
  <si>
    <t>Fire Alarm Interface Box IF20</t>
  </si>
  <si>
    <t>4210-0039 — Fire Alarm Interface Box IF20 (Ampac)</t>
  </si>
  <si>
    <t>ampac 4210-0039 fire alarm interface box if20</t>
  </si>
  <si>
    <t>226-0002</t>
  </si>
  <si>
    <t>Alarm Acknowledgement Facility AS7240</t>
  </si>
  <si>
    <t>226-0002 — Alarm Acknowledgement Facility AS7240 (Ampac)</t>
  </si>
  <si>
    <t>ampac 226-0002 alarm acknowledgement facility as7240</t>
  </si>
  <si>
    <t>226-0003</t>
  </si>
  <si>
    <t>Apartment Module</t>
  </si>
  <si>
    <t>226-0003 — Apartment Module (Ampac)</t>
  </si>
  <si>
    <t>ampac 226-0003 apartment module</t>
  </si>
  <si>
    <t>226-0004</t>
  </si>
  <si>
    <t>Alarm Acknowledgement Facility Horizontal AS7240</t>
  </si>
  <si>
    <t>226-0004 — Alarm Acknowledgement Facility Horizontal AS7240 (Ampac)</t>
  </si>
  <si>
    <t>ampac 226-0004 alarm acknowledgement facility horizontal as7240</t>
  </si>
  <si>
    <t>7010-1000</t>
  </si>
  <si>
    <t>Wagner ProSens APID</t>
  </si>
  <si>
    <t>7010-1000 — Wagner ProSens APID (Ampac)</t>
  </si>
  <si>
    <t>ampac 7010-1000 wagner prosens apid</t>
  </si>
  <si>
    <t>7010-1010</t>
  </si>
  <si>
    <t>Wagner ProSens CLI</t>
  </si>
  <si>
    <t>7010-1010 — Wagner ProSens CLI (Ampac)</t>
  </si>
  <si>
    <t>ampac 7010-1010 wagner prosens cli</t>
  </si>
  <si>
    <t>7010-1020</t>
  </si>
  <si>
    <t>Wagner ProSens OEM</t>
  </si>
  <si>
    <t>7010-1020 — Wagner ProSens OEM (Ampac)</t>
  </si>
  <si>
    <t>ampac 7010-1020 wagner prosens oem</t>
  </si>
  <si>
    <t>7010-1100</t>
  </si>
  <si>
    <t>Wagner ProSens DeepFreeze APID</t>
  </si>
  <si>
    <t>7010-1100 — Wagner ProSens DeepFreeze APID (Ampac)</t>
  </si>
  <si>
    <t>ampac 7010-1100 wagner prosens deepfreeze apid</t>
  </si>
  <si>
    <t>7010-1110</t>
  </si>
  <si>
    <t>Wagner ProSens DeepFreeze CLI</t>
  </si>
  <si>
    <t>7010-1110 — Wagner ProSens DeepFreeze CLI (Ampac)</t>
  </si>
  <si>
    <t>ampac 7010-1110 wagner prosens deepfreeze cli</t>
  </si>
  <si>
    <t>7010-1120</t>
  </si>
  <si>
    <t>Wagner ProSens DeepFreeze OEM</t>
  </si>
  <si>
    <t>7010-1120 — Wagner ProSens DeepFreeze OEM (Ampac)</t>
  </si>
  <si>
    <t>ampac 7010-1120 wagner prosens deepfreeze oem</t>
  </si>
  <si>
    <t>AD-10-5130</t>
  </si>
  <si>
    <t>ProSens Head 0.50% Rated -20 to 60°C</t>
  </si>
  <si>
    <t>AD-10-5130 — ProSens Head 0.50% Rated -20 to 60°C (Ampac)</t>
  </si>
  <si>
    <t>ampac ad-10-5130 prosens head 0.50% rated -20 to 60°c</t>
  </si>
  <si>
    <t>AD-10-5100</t>
  </si>
  <si>
    <t>ProSens Head 0.10% Rated -20 to 60°C</t>
  </si>
  <si>
    <t>AD-10-5100 — ProSens Head 0.10% Rated -20 to 60°C (Ampac)</t>
  </si>
  <si>
    <t>ampac ad-10-5100 prosens head 0.10% rated -20 to 60°c</t>
  </si>
  <si>
    <t>AD-10-5115</t>
  </si>
  <si>
    <t>ProSens Head 0.01% Rated -20 to 60°C</t>
  </si>
  <si>
    <t>AD-10-5115 — ProSens Head 0.01% Rated -20 to 60°C (Ampac)</t>
  </si>
  <si>
    <t>ampac ad-10-5115 prosens head 0.01% rated -20 to 60°c</t>
  </si>
  <si>
    <t>AD-10-5200</t>
  </si>
  <si>
    <t>ProSens Head 0.50% DeepFreeze -40 to 60°C</t>
  </si>
  <si>
    <t>AD-10-5200 — ProSens Head 0.50% DeepFreeze -40 to 60°C (Ampac)</t>
  </si>
  <si>
    <t>ampac ad-10-5200 prosens head 0.50% deepfreeze -40 to 60°c</t>
  </si>
  <si>
    <t>AD-10-5190</t>
  </si>
  <si>
    <t>ProSens Head 0.10% DeepFreeze -40 to 60°C</t>
  </si>
  <si>
    <t>AD-10-5190 — ProSens Head 0.10% DeepFreeze -40 to 60°C (Ampac)</t>
  </si>
  <si>
    <t>ampac ad-10-5190 prosens head 0.10% deepfreeze -40 to 60°c</t>
  </si>
  <si>
    <t>AD-10-5195</t>
  </si>
  <si>
    <t>ProSens Head 0.01% DeepFreeze -40 to 60°C</t>
  </si>
  <si>
    <t>AD-10-5195 — ProSens Head 0.01% DeepFreeze -40 to 60°C (Ampac)</t>
  </si>
  <si>
    <t>ampac ad-10-5195 prosens head 0.01% deepfreeze -40 to 60°c</t>
  </si>
  <si>
    <t>AD-10-1960</t>
  </si>
  <si>
    <t>Wagner Filter Box LF-AD 15 Micron (-40 to 60°C)</t>
  </si>
  <si>
    <t>AD-10-1960 — Wagner Filter Box LF-AD 15 Micron (-40 to 60°C) (Ampac)</t>
  </si>
  <si>
    <t>ampac ad-10-1960 wagner filter box lf-ad 15 micron (-40 to 60°c)</t>
  </si>
  <si>
    <t>AD-10-1963</t>
  </si>
  <si>
    <t>Wagner Filter Box LF-AD-1 10 Micron (-40 to 60°C)</t>
  </si>
  <si>
    <t>AD-10-1963 — Wagner Filter Box LF-AD-1 10 Micron (-40 to 60°C) (Ampac)</t>
  </si>
  <si>
    <t>ampac ad-10-1963 wagner filter box lf-ad-1 10 micron (-40 to 60°c)</t>
  </si>
  <si>
    <t>AD-10-1966</t>
  </si>
  <si>
    <t>Wagner Filter Box LF-AD-2 5 Micron (-40 to 60°C)</t>
  </si>
  <si>
    <t>AD-10-1966 — Wagner Filter Box LF-AD-2 5 Micron (-40 to 60°C) (Ampac)</t>
  </si>
  <si>
    <t>ampac ad-10-1966 wagner filter box lf-ad-2 5 micron (-40 to 60°c)</t>
  </si>
  <si>
    <t>AD-10-0330</t>
  </si>
  <si>
    <t>Wagner Filter Element LF-AD-E 15 Micron (replacement)</t>
  </si>
  <si>
    <t>AD-10-0330 — Wagner Filter Element LF-AD-E 15 Micron (replacement) (Ampac)</t>
  </si>
  <si>
    <t>ampac ad-10-0330 wagner filter element lf-ad-e 15 micron (replacement)</t>
  </si>
  <si>
    <t>AD-10-0335</t>
  </si>
  <si>
    <t>Wagner Filter Element LF-AD-ES 10 Micron (replacement)</t>
  </si>
  <si>
    <t>AD-10-0335 — Wagner Filter Element LF-AD-ES 10 Micron (replacement) (Ampac)</t>
  </si>
  <si>
    <t>ampac ad-10-0335 wagner filter element lf-ad-es 10 micron (replacement)</t>
  </si>
  <si>
    <t>AD-10-0332</t>
  </si>
  <si>
    <t>Wagner Filter Element LF-AD-E2 5 Micron (replacement)</t>
  </si>
  <si>
    <t>AD-10-0332 — Wagner Filter Element LF-AD-E2 5 Micron (replacement) (Ampac)</t>
  </si>
  <si>
    <t>ampac ad-10-0332 wagner filter element lf-ad-e2 5 micron (replacement)</t>
  </si>
  <si>
    <t>7010-0134</t>
  </si>
  <si>
    <t>30 Micron Filter Box</t>
  </si>
  <si>
    <t>7010-0134 — 30 Micron Filter Box (Ampac)</t>
  </si>
  <si>
    <t>ampac 7010-0134 30 micron filter box</t>
  </si>
  <si>
    <t>AD-10-0005</t>
  </si>
  <si>
    <t>ASD Sound Absorber</t>
  </si>
  <si>
    <t>AD-10-0005 — ASD Sound Absorber (Ampac)</t>
  </si>
  <si>
    <t>ampac ad-10-0005 asd sound absorber</t>
  </si>
  <si>
    <t>AD-05-0563</t>
  </si>
  <si>
    <t>Wagner Diagnostic Tool — Laptop USB to Wagner</t>
  </si>
  <si>
    <t>AD-05-0563 — Wagner Diagnostic Tool — Laptop USB to Wagner (Ampac)</t>
  </si>
  <si>
    <t>ampac ad-05-0563 wagner diagnostic tool — laptop usb to wagner</t>
  </si>
  <si>
    <t>AD-05-4531</t>
  </si>
  <si>
    <t>MicroSens 0.5% Std PreAlarm</t>
  </si>
  <si>
    <t>AD-05-4531 — MicroSens 0.5% Std PreAlarm (Ampac)</t>
  </si>
  <si>
    <t>ampac ad-05-4531 microsens 0.5% std prealarm</t>
  </si>
  <si>
    <t>AD-05-4539</t>
  </si>
  <si>
    <t>MicroSens 0.5% DeepFreeze PreAlarm -40°C</t>
  </si>
  <si>
    <t>AD-05-4539 — MicroSens 0.5% DeepFreeze PreAlarm -40°C (Ampac)</t>
  </si>
  <si>
    <t>ampac ad-05-4539 microsens 0.5% deepfreeze prealarm -40°c</t>
  </si>
  <si>
    <t>7010-6700</t>
  </si>
  <si>
    <t>MicroSens Backbox with I/O Device</t>
  </si>
  <si>
    <t>7010-6700 — MicroSens Backbox with I/O Device (Ampac)</t>
  </si>
  <si>
    <t>ampac 7010-6700 microsens backbox with i/o device</t>
  </si>
  <si>
    <t>7010-6701</t>
  </si>
  <si>
    <t>MicroSens Backbox (AD-05-3500)</t>
  </si>
  <si>
    <t>7010-6701 — MicroSens Backbox (AD-05-3500) (Ampac)</t>
  </si>
  <si>
    <t>ampac 7010-6701 microsens backbox (ad-05-3500)</t>
  </si>
  <si>
    <t>230-0061</t>
  </si>
  <si>
    <t>Pipe (4m Length)</t>
  </si>
  <si>
    <t>230-0061 — Pipe (4m Length) (Ampac)</t>
  </si>
  <si>
    <t>ampac 230-0061 pipe (4m length)</t>
  </si>
  <si>
    <t>230-0062</t>
  </si>
  <si>
    <t>Pipe Coupling STD DX40025</t>
  </si>
  <si>
    <t>230-0062 — Pipe Coupling STD DX40025 (Ampac)</t>
  </si>
  <si>
    <t>ampac 230-0062 pipe coupling std dx40025</t>
  </si>
  <si>
    <t>230-0063</t>
  </si>
  <si>
    <t>Pipe Coupling IP65 DX43025</t>
  </si>
  <si>
    <t>230-0063 — Pipe Coupling IP65 DX43025 (Ampac)</t>
  </si>
  <si>
    <t>ampac 230-0063 pipe coupling ip65 dx43025</t>
  </si>
  <si>
    <t>230-0067</t>
  </si>
  <si>
    <t>Large 90° Bend Standard</t>
  </si>
  <si>
    <t>230-0067 — Large 90° Bend Standard (Ampac)</t>
  </si>
  <si>
    <t>ampac 230-0067 large 90° bend standard</t>
  </si>
  <si>
    <t>230-0068</t>
  </si>
  <si>
    <t>End Cap 25mm DX52125</t>
  </si>
  <si>
    <t>230-0068 — End Cap 25mm DX52125 (Ampac)</t>
  </si>
  <si>
    <t>ampac 230-0068 end cap 25mm dx52125</t>
  </si>
  <si>
    <t>230-0072</t>
  </si>
  <si>
    <t>Pipe Clip Saddle GW50603</t>
  </si>
  <si>
    <t>230-0072 — Pipe Clip Saddle GW50603 (Ampac)</t>
  </si>
  <si>
    <t>ampac 230-0072 pipe clip saddle gw50603</t>
  </si>
  <si>
    <t>230-0121</t>
  </si>
  <si>
    <t>Label Sampling Pipe Roll 200</t>
  </si>
  <si>
    <t>230-0121 — Label Sampling Pipe Roll 200 (Ampac)</t>
  </si>
  <si>
    <t>ampac 230-0121 label sampling pipe roll 200</t>
  </si>
  <si>
    <t>230-0081</t>
  </si>
  <si>
    <t>Sampling Point Kit 10mm Friction Fit</t>
  </si>
  <si>
    <t>230-0081 — Sampling Point Kit 10mm Friction Fit (Ampac)</t>
  </si>
  <si>
    <t>ampac 230-0081 sampling point kit 10mm friction fit</t>
  </si>
  <si>
    <t>230-0082</t>
  </si>
  <si>
    <t>Sampling Point Kit 10mm Locking</t>
  </si>
  <si>
    <t>230-0082 — Sampling Point Kit 10mm Locking (Ampac)</t>
  </si>
  <si>
    <t>ampac 230-0082 sampling point kit 10mm locking</t>
  </si>
  <si>
    <t>01-10-9040</t>
  </si>
  <si>
    <t>T Pipe Connector 25mm PVC</t>
  </si>
  <si>
    <t>01-10-9040 — T Pipe Connector 25mm PVC (Ampac)</t>
  </si>
  <si>
    <t>ampac 01-10-9040 t pipe connector 25mm pvc</t>
  </si>
  <si>
    <t>4107-3001</t>
  </si>
  <si>
    <t>VTG Sounder Red Shallow Base (AS7240-3)</t>
  </si>
  <si>
    <t>4107-3001 — VTG Sounder Red Shallow Base (AS7240-3) (Ampac)</t>
  </si>
  <si>
    <t>ampac 4107-3001 vtg sounder red shallow base (as7240-3)</t>
  </si>
  <si>
    <t>4107-3002</t>
  </si>
  <si>
    <t>VTG Sounder Red Deep Body (AS7240-3)</t>
  </si>
  <si>
    <t>4107-3002 — VTG Sounder Red Deep Body (AS7240-3) (Ampac)</t>
  </si>
  <si>
    <t>ampac 4107-3002 vtg sounder red deep body (as7240-3)</t>
  </si>
  <si>
    <t>4107-3003</t>
  </si>
  <si>
    <t>VTG Sounder White Shallow Body (AS7240-3)</t>
  </si>
  <si>
    <t>4107-3003 — VTG Sounder White Shallow Body (AS7240-3) (Ampac)</t>
  </si>
  <si>
    <t>ampac 4107-3003 vtg sounder white shallow body (as7240-3)</t>
  </si>
  <si>
    <t>4107-3004</t>
  </si>
  <si>
    <t>VTG Sounder White Deep Base (AS7240-3)</t>
  </si>
  <si>
    <t>4107-3004 — VTG Sounder White Deep Base (AS7240-3) (Ampac)</t>
  </si>
  <si>
    <t>ampac 4107-3004 vtg sounder white deep base (as7240-3)</t>
  </si>
  <si>
    <t>4107-3005</t>
  </si>
  <si>
    <t>VSO Sounder White Body (AS7240-3)</t>
  </si>
  <si>
    <t>4107-3005 — VSO Sounder White Body (AS7240-3) (Ampac)</t>
  </si>
  <si>
    <t>ampac 4107-3005 vso sounder white body (as7240-3)</t>
  </si>
  <si>
    <t>4107-3008</t>
  </si>
  <si>
    <t>VSO White Sounder Cover Plate</t>
  </si>
  <si>
    <t>4107-3008 — VSO White Sounder Cover Plate (Ampac)</t>
  </si>
  <si>
    <t>ampac 4107-3008 vso white sounder cover plate</t>
  </si>
  <si>
    <t>4107-5101</t>
  </si>
  <si>
    <t>VTB-I Red Lens Shallow Red Body (AS7240-3)</t>
  </si>
  <si>
    <t>4107-5101 — VTB-I Red Lens Shallow Red Body (AS7240-3) (Ampac)</t>
  </si>
  <si>
    <t>ampac 4107-5101 vtb-i red lens shallow red body (as7240-3)</t>
  </si>
  <si>
    <t>4107-5103</t>
  </si>
  <si>
    <t>VTB-I Red Lens Deep Red Body (AS7240-3)</t>
  </si>
  <si>
    <t>4107-5103 — VTB-I Red Lens Deep Red Body (AS7240-3) (Ampac)</t>
  </si>
  <si>
    <t>ampac 4107-5103 vtb-i red lens deep red body (as7240-3)</t>
  </si>
  <si>
    <t>4107-1101</t>
  </si>
  <si>
    <t>VXB-VC White Flash Shallow White Body (AS7240-23)</t>
  </si>
  <si>
    <t>4107-1101 — VXB-VC White Flash Shallow White Body (AS7240-23) (Ampac)</t>
  </si>
  <si>
    <t>ampac 4107-1101 vxb-vc white flash shallow white body (as7240-23)</t>
  </si>
  <si>
    <t>4107-1102</t>
  </si>
  <si>
    <t>VXB-VC White Flash Deep White Body (AS7240-23)</t>
  </si>
  <si>
    <t>4107-1102 — VXB-VC White Flash Deep White Body (AS7240-23) (Ampac)</t>
  </si>
  <si>
    <t>ampac 4107-1102 vxb-vc white flash deep white body (as7240-23)</t>
  </si>
  <si>
    <t>4107-1103</t>
  </si>
  <si>
    <t>VXB-VC Red Flash Shallow White Body (AS7240-23)</t>
  </si>
  <si>
    <t>4107-1103 — VXB-VC Red Flash Shallow White Body (AS7240-23) (Ampac)</t>
  </si>
  <si>
    <t>ampac 4107-1103 vxb-vc red flash shallow white body (as7240-23)</t>
  </si>
  <si>
    <t>4107-1104</t>
  </si>
  <si>
    <t>VXB-VC Red Flash Deep White Body (AS7240-23)</t>
  </si>
  <si>
    <t>4107-1104 — VXB-VC Red Flash Deep White Body (AS7240-23) (Ampac)</t>
  </si>
  <si>
    <t>ampac 4107-1104 vxb-vc red flash deep white body (as7240-23)</t>
  </si>
  <si>
    <t>4107-1105</t>
  </si>
  <si>
    <t>VXB-VC Red Flash Shallow Red Body (AS7240-23)</t>
  </si>
  <si>
    <t>4107-1105 — VXB-VC Red Flash Shallow Red Body (AS7240-23) (Ampac)</t>
  </si>
  <si>
    <t>ampac 4107-1105 vxb-vc red flash shallow red body (as7240-23)</t>
  </si>
  <si>
    <t>4107-1106</t>
  </si>
  <si>
    <t>VXB-VC Red Flash Deep Red Body (AS7240-23)</t>
  </si>
  <si>
    <t>4107-1106 — VXB-VC Red Flash Deep Red Body (AS7240-23) (Ampac)</t>
  </si>
  <si>
    <t>ampac 4107-1106 vxb-vc red flash deep red body (as7240-23)</t>
  </si>
  <si>
    <t>4107-1151</t>
  </si>
  <si>
    <t>VXB-VW White Flash Shallow White Body (AS7240-23)</t>
  </si>
  <si>
    <t>4107-1151 — VXB-VW White Flash Shallow White Body (AS7240-23) (Ampac)</t>
  </si>
  <si>
    <t>ampac 4107-1151 vxb-vw white flash shallow white body (as7240-23)</t>
  </si>
  <si>
    <t>4107-1153</t>
  </si>
  <si>
    <t>VXB-VW Red Flash Shallow White Body (AS7240-23)</t>
  </si>
  <si>
    <t>4107-1153 — VXB-VW Red Flash Shallow White Body (AS7240-23) (Ampac)</t>
  </si>
  <si>
    <t>ampac 4107-1153 vxb-vw red flash shallow white body (as7240-23)</t>
  </si>
  <si>
    <t>4107-1155</t>
  </si>
  <si>
    <t>VXB-VW Red Flash Shallow Red Body (AS7240-23)</t>
  </si>
  <si>
    <t>4107-1155 — VXB-VW Red Flash Shallow Red Body (AS7240-23) (Ampac)</t>
  </si>
  <si>
    <t>ampac 4107-1155 vxb-vw red flash shallow red body (as7240-23)</t>
  </si>
  <si>
    <t>4107-1131</t>
  </si>
  <si>
    <t>Dual VXB Shallow Red &amp; White Flash White Body</t>
  </si>
  <si>
    <t>4107-1131 — Dual VXB Shallow Red &amp; White Flash White Body (Ampac)</t>
  </si>
  <si>
    <t>ampac 4107-1131 dual vxb shallow red &amp; white flash white body</t>
  </si>
  <si>
    <t>4107-1132</t>
  </si>
  <si>
    <t>Dual VXB Deep Red &amp; White Flash White Body</t>
  </si>
  <si>
    <t>4107-1132 — Dual VXB Deep Red &amp; White Flash White Body (Ampac)</t>
  </si>
  <si>
    <t>ampac 4107-1132 dual vxb deep red &amp; white flash white body</t>
  </si>
  <si>
    <t>4107-5203</t>
  </si>
  <si>
    <t>VTB-VC Red Flash Shallow White Body (AS7240-3 &amp; 23)</t>
  </si>
  <si>
    <t>4107-5203 — VTB-VC Red Flash Shallow White Body (AS7240-3 &amp; 23) (Ampac)</t>
  </si>
  <si>
    <t>ampac 4107-5203 vtb-vc red flash shallow white body (as7240-3 &amp; 23)</t>
  </si>
  <si>
    <t>4107-5204</t>
  </si>
  <si>
    <t>VTB-VC Red Flash Deep White Body (AS7240-3 &amp; 23)</t>
  </si>
  <si>
    <t>4107-5204 — VTB-VC Red Flash Deep White Body (AS7240-3 &amp; 23) (Ampac)</t>
  </si>
  <si>
    <t>ampac 4107-5204 vtb-vc red flash deep white body (as7240-3 &amp; 23)</t>
  </si>
  <si>
    <t>4107-5205</t>
  </si>
  <si>
    <t>VTB-VC Red Flash Shallow Red Body (AS7240-3 &amp; 23)</t>
  </si>
  <si>
    <t>4107-5205 — VTB-VC Red Flash Shallow Red Body (AS7240-3 &amp; 23) (Ampac)</t>
  </si>
  <si>
    <t>ampac 4107-5205 vtb-vc red flash shallow red body (as7240-3 &amp; 23)</t>
  </si>
  <si>
    <t>4107-5206</t>
  </si>
  <si>
    <t>VTB-VC Red Flash Deep Red Body (AS7240-3 &amp; 23)</t>
  </si>
  <si>
    <t>4107-5206 — VTB-VC Red Flash Deep Red Body (AS7240-3 &amp; 23) (Ampac)</t>
  </si>
  <si>
    <t>ampac 4107-5206 vtb-vc red flash deep red body (as7240-3 &amp; 23)</t>
  </si>
  <si>
    <t>4107-1001</t>
  </si>
  <si>
    <t>Red LED Beacon White Shallow Body</t>
  </si>
  <si>
    <t>4107-1001 — Red LED Beacon White Shallow Body (Ampac)</t>
  </si>
  <si>
    <t>ampac 4107-1001 red led beacon white shallow body</t>
  </si>
  <si>
    <t>4107-1002</t>
  </si>
  <si>
    <t>Amber LED Beacon White Shallow Body</t>
  </si>
  <si>
    <t>4107-1002 — Amber LED Beacon White Shallow Body (Ampac)</t>
  </si>
  <si>
    <t>ampac 4107-1002 amber led beacon white shallow body</t>
  </si>
  <si>
    <t>4107-1003</t>
  </si>
  <si>
    <t>Red LED Beacon White Deep Body</t>
  </si>
  <si>
    <t>4107-1003 — Red LED Beacon White Deep Body (Ampac)</t>
  </si>
  <si>
    <t>ampac 4107-1003 red led beacon white deep body</t>
  </si>
  <si>
    <t>4107-1009</t>
  </si>
  <si>
    <t>Red LED Beacon Red Deep Body</t>
  </si>
  <si>
    <t>4107-1009 — Red LED Beacon Red Deep Body (Ampac)</t>
  </si>
  <si>
    <t>ampac 4107-1009 red led beacon red deep body</t>
  </si>
  <si>
    <t>4107-1005</t>
  </si>
  <si>
    <t>Dual LED Beacon Shallow Base</t>
  </si>
  <si>
    <t>4107-1005 — Dual LED Beacon Shallow Base (Ampac)</t>
  </si>
  <si>
    <t>ampac 4107-1005 dual led beacon shallow base</t>
  </si>
  <si>
    <t>4107-1006</t>
  </si>
  <si>
    <t>Dual LED Beacon Deep Base</t>
  </si>
  <si>
    <t>4107-1006 — Dual LED Beacon Deep Base (Ampac)</t>
  </si>
  <si>
    <t>ampac 4107-1006 dual led beacon deep base</t>
  </si>
  <si>
    <t>209-0004</t>
  </si>
  <si>
    <t>Remote Indicator — Fire Alarm in Concealed Space</t>
  </si>
  <si>
    <t>209-0004 — Remote Indicator — Fire Alarm in Concealed Space (Ampac)</t>
  </si>
  <si>
    <t>ampac 209-0004 remote indicator — fire alarm in concealed space</t>
  </si>
  <si>
    <t>209-0005</t>
  </si>
  <si>
    <t>Remote Indicator — Fire Alarm in Roof Space</t>
  </si>
  <si>
    <t>209-0005 — Remote Indicator — Fire Alarm in Roof Space (Ampac)</t>
  </si>
  <si>
    <t>ampac 209-0005 remote indicator — fire alarm in roof space</t>
  </si>
  <si>
    <t>209-0006</t>
  </si>
  <si>
    <t>Remote Indicator — Fire Alarm in Room</t>
  </si>
  <si>
    <t>209-0006 — Remote Indicator — Fire Alarm in Room (Ampac)</t>
  </si>
  <si>
    <t>ampac 209-0006 remote indicator — fire alarm in room</t>
  </si>
  <si>
    <t>209-0007</t>
  </si>
  <si>
    <t>Remote Indicator — Fire Alarm in Duct</t>
  </si>
  <si>
    <t>209-0007 — Remote Indicator — Fire Alarm in Duct (Ampac)</t>
  </si>
  <si>
    <t>ampac 209-0007 remote indicator — fire alarm in duct</t>
  </si>
  <si>
    <t>209-0008</t>
  </si>
  <si>
    <t>Remote Indicator — Fire Alarm in Cupboard</t>
  </si>
  <si>
    <t>209-0008 — Remote Indicator — Fire Alarm in Cupboard (Ampac)</t>
  </si>
  <si>
    <t>ampac 209-0008 remote indicator — fire alarm in cupboard</t>
  </si>
  <si>
    <t>209-0009</t>
  </si>
  <si>
    <t>Remote Indicator — Fire Alarm Under Floor</t>
  </si>
  <si>
    <t>209-0009 — Remote Indicator — Fire Alarm Under Floor (Ampac)</t>
  </si>
  <si>
    <t>ampac 209-0009 remote indicator — fire alarm under floor</t>
  </si>
  <si>
    <t>209-0010</t>
  </si>
  <si>
    <t>Remote Indicator — Fire Alarm in Return Air</t>
  </si>
  <si>
    <t>209-0010 — Remote Indicator — Fire Alarm in Return Air (Ampac)</t>
  </si>
  <si>
    <t>ampac 209-0010 remote indicator — fire alarm in return air</t>
  </si>
  <si>
    <t>209-0014</t>
  </si>
  <si>
    <t>Remote Indicator — Fire Alarm Above</t>
  </si>
  <si>
    <t>209-0014 — Remote Indicator — Fire Alarm Above (Ampac)</t>
  </si>
  <si>
    <t>ampac 209-0014 remote indicator — fire alarm above</t>
  </si>
  <si>
    <t>209-0017</t>
  </si>
  <si>
    <t>Remote LED + Buzzer on Clipsal White S/Gang Plate</t>
  </si>
  <si>
    <t>209-0017 — Remote LED + Buzzer on Clipsal White S/Gang Plate (Ampac)</t>
  </si>
  <si>
    <t>ampac 209-0017 remote led + buzzer on clipsal white s/gang plate</t>
  </si>
  <si>
    <t>206-0012</t>
  </si>
  <si>
    <t>AFB-63 Bell 150mm Red 24VDC</t>
  </si>
  <si>
    <t>206-0012 — AFB-63 Bell 150mm Red 24VDC (Ampac)</t>
  </si>
  <si>
    <t>ampac 206-0012 afb-63 bell 150mm red 24vdc</t>
  </si>
  <si>
    <t>206-0011</t>
  </si>
  <si>
    <t>AFB-63 Bell 150mm Red 12VDC</t>
  </si>
  <si>
    <t>206-0011 — AFB-63 Bell 150mm Red 12VDC (Ampac)</t>
  </si>
  <si>
    <t>ampac 206-0011 afb-63 bell 150mm red 12vdc</t>
  </si>
  <si>
    <t>206-0001</t>
  </si>
  <si>
    <t>Bell 200mm 24VDC Red</t>
  </si>
  <si>
    <t>206-0001 — Bell 200mm 24VDC Red (Ampac)</t>
  </si>
  <si>
    <t>ampac 206-0001 bell 200mm 24vdc red</t>
  </si>
  <si>
    <t>206-0006</t>
  </si>
  <si>
    <t>Bell Back Box</t>
  </si>
  <si>
    <t>206-0006 — Bell Back Box (Ampac)</t>
  </si>
  <si>
    <t>ampac 206-0006 bell back box</t>
  </si>
  <si>
    <t>4210-0110</t>
  </si>
  <si>
    <t>Warning Sign (No Fascia Plate)</t>
  </si>
  <si>
    <t>4210-0110 — Warning Sign (No Fascia Plate) (Ampac)</t>
  </si>
  <si>
    <t>ampac 4210-0110 warning sign (no fascia plate)</t>
  </si>
  <si>
    <t>4210-0120</t>
  </si>
  <si>
    <t>Warning Sign IP65 (No Fascia Plate)</t>
  </si>
  <si>
    <t>4210-0120 — Warning Sign IP65 (No Fascia Plate) (Ampac)</t>
  </si>
  <si>
    <t>ampac 4210-0120 warning sign ip65 (no fascia plate)</t>
  </si>
  <si>
    <t>4210-0131</t>
  </si>
  <si>
    <t>Fire Alarm Do Not Enter Fascia Plate</t>
  </si>
  <si>
    <t>4210-0131 — Fire Alarm Do Not Enter Fascia Plate (Ampac)</t>
  </si>
  <si>
    <t>ampac 4210-0131 fire alarm do not enter fascia plate</t>
  </si>
  <si>
    <t>4210-0132</t>
  </si>
  <si>
    <t>Fire Alarm Evacuate Area Fascia Plate</t>
  </si>
  <si>
    <t>4210-0132 — Fire Alarm Evacuate Area Fascia Plate (Ampac)</t>
  </si>
  <si>
    <t>ampac 4210-0132 fire alarm evacuate area fascia plate</t>
  </si>
  <si>
    <t>4210-0133</t>
  </si>
  <si>
    <t>Do Not Enter Gas Discharged Fascia Plate</t>
  </si>
  <si>
    <t>4210-0133 — Do Not Enter Gas Discharged Fascia Plate (Ampac)</t>
  </si>
  <si>
    <t>ampac 4210-0133 do not enter gas discharged fascia plate</t>
  </si>
  <si>
    <t>4210-0134</t>
  </si>
  <si>
    <t>Fire Door Closing Fascia Plate</t>
  </si>
  <si>
    <t>4210-0134 — Fire Door Closing Fascia Plate (Ampac)</t>
  </si>
  <si>
    <t>ampac 4210-0134 fire door closing fascia plate</t>
  </si>
  <si>
    <t>4210-0135</t>
  </si>
  <si>
    <t>Extinguishing System Inoperative Fascia Plate</t>
  </si>
  <si>
    <t>4210-0135 — Extinguishing System Inoperative Fascia Plate (Ampac)</t>
  </si>
  <si>
    <t>ampac 4210-0135 extinguishing system inoperative fascia plate</t>
  </si>
  <si>
    <t>4210-0136</t>
  </si>
  <si>
    <t>Custom Legend Fascia Plate (specify text on order)</t>
  </si>
  <si>
    <t>4210-0136 — Custom Legend Fascia Plate (specify text on order) (Ampac)</t>
  </si>
  <si>
    <t>ampac 4210-0136 custom legend fascia plate (specify text on order)</t>
  </si>
  <si>
    <t>4113-6001</t>
  </si>
  <si>
    <t>SPK6 White Ceiling Speaker 6W Red PET Rear Cover</t>
  </si>
  <si>
    <t>4113-6001 — SPK6 White Ceiling Speaker 6W Red PET Rear Cover (Ampac)</t>
  </si>
  <si>
    <t>ampac 4113-6001 spk6 white ceiling speaker 6w red pet rear cover</t>
  </si>
  <si>
    <t>4113-6002</t>
  </si>
  <si>
    <t>SPK6 White Ceiling Speaker 6W Red ABS Rear Cover</t>
  </si>
  <si>
    <t>4113-6002 — SPK6 White Ceiling Speaker 6W Red ABS Rear Cover (Ampac)</t>
  </si>
  <si>
    <t>ampac 4113-6002 spk6 white ceiling speaker 6w red abs rear cover</t>
  </si>
  <si>
    <t>4113-6003</t>
  </si>
  <si>
    <t>SPK6 White Ceiling Speaker 6W Red Metal Rear Cover</t>
  </si>
  <si>
    <t>4113-6003 — SPK6 White Ceiling Speaker 6W Red Metal Rear Cover (Ampac)</t>
  </si>
  <si>
    <t>ampac 4113-6003 spk6 white ceiling speaker 6w red metal rear cover</t>
  </si>
  <si>
    <t>4113-6201</t>
  </si>
  <si>
    <t>SPK7 Grey Horn Speaker Ceramic Term &amp; Fuse</t>
  </si>
  <si>
    <t>4113-6201 — SPK7 Grey Horn Speaker Ceramic Term &amp; Fuse (Ampac)</t>
  </si>
  <si>
    <t>ampac 4113-6201 spk7 grey horn speaker ceramic term &amp; fuse</t>
  </si>
  <si>
    <t>4113-6401</t>
  </si>
  <si>
    <t>SPK8 White Sound Projector Ceramic Term &amp; Fuse</t>
  </si>
  <si>
    <t>4113-6401 — SPK8 White Sound Projector Ceramic Term &amp; Fuse (Ampac)</t>
  </si>
  <si>
    <t>ampac 4113-6401 spk8 white sound projector ceramic term &amp; fuse</t>
  </si>
  <si>
    <t>4113-1054</t>
  </si>
  <si>
    <t>Ceiling Speaker White ABS Grille (Grommets) AS7240-24</t>
  </si>
  <si>
    <t>4113-1054 — Ceiling Speaker White ABS Grille (Grommets) AS7240-24 (Ampac)</t>
  </si>
  <si>
    <t>ampac 4113-1054 ceiling speaker white abs grille (grommets) as7240-24</t>
  </si>
  <si>
    <t>4113-1056</t>
  </si>
  <si>
    <t>Ceiling Speaker White Alumin Grille (Grommets) AS7240-24</t>
  </si>
  <si>
    <t>4113-1056 — Ceiling Speaker White Alumin Grille (Grommets) AS7240-24 (Ampac)</t>
  </si>
  <si>
    <t>ampac 4113-1056 ceiling speaker white alumin grille (grommets) as7240-24</t>
  </si>
  <si>
    <t>4113-1058</t>
  </si>
  <si>
    <t>Ceiling Speaker White Metal Grille AS7240-24</t>
  </si>
  <si>
    <t>4113-1058 — Ceiling Speaker White Metal Grille AS7240-24 (Ampac)</t>
  </si>
  <si>
    <t>ampac 4113-1058 ceiling speaker white metal grille as7240-24</t>
  </si>
  <si>
    <t>4113-1064</t>
  </si>
  <si>
    <t>Ceiling Speaker 5W 8" White ABS Plastic AS7240-24</t>
  </si>
  <si>
    <t>4113-1064 — Ceiling Speaker 5W 8" White ABS Plastic AS7240-24 (Ampac)</t>
  </si>
  <si>
    <t>ampac 4113-1064 ceiling speaker 5w 8" white abs plastic as7240-24</t>
  </si>
  <si>
    <t>4113-1074</t>
  </si>
  <si>
    <t>Ceiling Speaker 15W 8" White Plastic High Power AS7240-24</t>
  </si>
  <si>
    <t>4113-1074 — Ceiling Speaker 15W 8" White Plastic High Power AS7240-24 (Ampac)</t>
  </si>
  <si>
    <t>ampac 4113-1074 ceiling speaker 15w 8" white plastic high power as7240-24</t>
  </si>
  <si>
    <t>4113-1025</t>
  </si>
  <si>
    <t>Horn Speaker 10W Grey EQ AS7240-24</t>
  </si>
  <si>
    <t>4113-1025 — Horn Speaker 10W Grey EQ AS7240-24 (Ampac)</t>
  </si>
  <si>
    <t>ampac 4113-1025 horn speaker 10w grey eq as7240-24</t>
  </si>
  <si>
    <t>4113-1027</t>
  </si>
  <si>
    <t>Horn Speaker 10W White EQ AS7240-24</t>
  </si>
  <si>
    <t>4113-1027 — Horn Speaker 10W White EQ AS7240-24 (Ampac)</t>
  </si>
  <si>
    <t>ampac 4113-1027 horn speaker 10w white eq as7240-24</t>
  </si>
  <si>
    <t>4113-1034</t>
  </si>
  <si>
    <t>Surface Mount Speaker 15W 8" White AS7240-24</t>
  </si>
  <si>
    <t>4113-1034 — Surface Mount Speaker 15W 8" White AS7240-24 (Ampac)</t>
  </si>
  <si>
    <t>ampac 4113-1034 surface mount speaker 15w 8" white as7240-24</t>
  </si>
  <si>
    <t>4113-1036</t>
  </si>
  <si>
    <t>Surface Mount 4" Speaker White One-Shot EQ AS7240-24</t>
  </si>
  <si>
    <t>4113-1036 — Surface Mount 4" Speaker White One-Shot EQ AS7240-24 (Ampac)</t>
  </si>
  <si>
    <t>ampac 4113-1036 surface mount 4" speaker white one-shot eq as7240-24</t>
  </si>
  <si>
    <t>4107-4001</t>
  </si>
  <si>
    <t>XP95 Integrated Base Sounder (AS7240-3)</t>
  </si>
  <si>
    <t>4107-4001 — XP95 Integrated Base Sounder (AS7240-3) (Ampac)</t>
  </si>
  <si>
    <t>ampac 4107-4001 xp95 integrated base sounder (as7240-3)</t>
  </si>
  <si>
    <t>4107-4002</t>
  </si>
  <si>
    <t>XP95 Open Area Sounder Red Body (AS7240-3)</t>
  </si>
  <si>
    <t>4107-4002 — XP95 Open Area Sounder Red Body (AS7240-3) (Ampac)</t>
  </si>
  <si>
    <t>ampac 4107-4002 xp95 open area sounder red body (as7240-3)</t>
  </si>
  <si>
    <t>4107-4003</t>
  </si>
  <si>
    <t>XP95 Open Area Sounder White Body (AS7240-3)</t>
  </si>
  <si>
    <t>4107-4003 — XP95 Open Area Sounder White Body (AS7240-3) (Ampac)</t>
  </si>
  <si>
    <t>ampac 4107-4003 xp95 open area sounder white body (as7240-3)</t>
  </si>
  <si>
    <t>4107-2001</t>
  </si>
  <si>
    <t>XP95 VAD White Flash C-3-8 White Body (AS7240-23)</t>
  </si>
  <si>
    <t>4107-2001 — XP95 VAD White Flash C-3-8 White Body (AS7240-23) (Ampac)</t>
  </si>
  <si>
    <t>ampac 4107-2001 xp95 vad white flash c-3-8 white body (as7240-23)</t>
  </si>
  <si>
    <t>4107-2002</t>
  </si>
  <si>
    <t>XP95 VAD White Flash C-3-8 Red Body (AS7240-23)</t>
  </si>
  <si>
    <t>4107-2002 — XP95 VAD White Flash C-3-8 Red Body (AS7240-23) (Ampac)</t>
  </si>
  <si>
    <t>ampac 4107-2002 xp95 vad white flash c-3-8 red body (as7240-23)</t>
  </si>
  <si>
    <t>4107-2005</t>
  </si>
  <si>
    <t>XP95 VAD Cat W Red Body (AS7240-23)</t>
  </si>
  <si>
    <t>4107-2005 — XP95 VAD Cat W Red Body (AS7240-23) (Ampac)</t>
  </si>
  <si>
    <t>ampac 4107-2005 xp95 vad cat w red body (as7240-23)</t>
  </si>
  <si>
    <t>4107-2006</t>
  </si>
  <si>
    <t>XP95 VAD Cat W White Body (AS7240-23)</t>
  </si>
  <si>
    <t>4107-2006 — XP95 VAD Cat W White Body (AS7240-23) (Ampac)</t>
  </si>
  <si>
    <t>ampac 4107-2006 xp95 vad cat w white body (as7240-23)</t>
  </si>
  <si>
    <t>4107-2007</t>
  </si>
  <si>
    <t>XP95 Base VAD Cat O (AS7240-23)</t>
  </si>
  <si>
    <t>4107-2007 — XP95 Base VAD Cat O (AS7240-23) (Ampac)</t>
  </si>
  <si>
    <t>ampac 4107-2007 xp95 base vad cat o (as7240-23)</t>
  </si>
  <si>
    <t>4107-6001</t>
  </si>
  <si>
    <t>XP95 Base Sounder VID Beacon (AS7240-3)</t>
  </si>
  <si>
    <t>4107-6001 — XP95 Base Sounder VID Beacon (AS7240-3) (Ampac)</t>
  </si>
  <si>
    <t>ampac 4107-6001 xp95 base sounder vid beacon (as7240-3)</t>
  </si>
  <si>
    <t>4107-6002</t>
  </si>
  <si>
    <t>XP95 Base Sounder VAD Cat O (AS7240-3 &amp; 23)</t>
  </si>
  <si>
    <t>4107-6002 — XP95 Base Sounder VAD Cat O (AS7240-3 &amp; 23) (Ampac)</t>
  </si>
  <si>
    <t>ampac 4107-6002 xp95 base sounder vad cat o (as7240-3 &amp; 23)</t>
  </si>
  <si>
    <t>212-0012</t>
  </si>
  <si>
    <t>Ampac Door Holder 24VDC 50KG</t>
  </si>
  <si>
    <t>212-0012 — Ampac Door Holder 24VDC 50KG (Ampac)</t>
  </si>
  <si>
    <t>ampac 212-0012 ampac door holder 24vdc 50kg</t>
  </si>
  <si>
    <t>4101-1001</t>
  </si>
  <si>
    <t>Surface Mount 200N 24V ABS Case Door Holder</t>
  </si>
  <si>
    <t>4101-1001 — Surface Mount 200N 24V ABS Case Door Holder (Ampac)</t>
  </si>
  <si>
    <t>ampac 4101-1001 surface mount 200n 24v abs case door holder</t>
  </si>
  <si>
    <t>4101-1002</t>
  </si>
  <si>
    <t>Surface Mount 200N 230V ABS Case Door Holder</t>
  </si>
  <si>
    <t>4101-1002 — Surface Mount 200N 230V ABS Case Door Holder (Ampac)</t>
  </si>
  <si>
    <t>ampac 4101-1002 surface mount 200n 230v abs case door holder</t>
  </si>
  <si>
    <t>4101-1003</t>
  </si>
  <si>
    <t>Surface Mount 500N 24V ABS Case Door Holder</t>
  </si>
  <si>
    <t>4101-1003 — Surface Mount 500N 24V ABS Case Door Holder (Ampac)</t>
  </si>
  <si>
    <t>ampac 4101-1003 surface mount 500n 24v abs case door holder</t>
  </si>
  <si>
    <t>4101-1004</t>
  </si>
  <si>
    <t>Surface Mount 200N 24V Steel Case Door Holder</t>
  </si>
  <si>
    <t>4101-1004 — Surface Mount 200N 24V Steel Case Door Holder (Ampac)</t>
  </si>
  <si>
    <t>ampac 4101-1004 surface mount 200n 24v steel case door holder</t>
  </si>
  <si>
    <t>4101-3001</t>
  </si>
  <si>
    <t>Flush Mount 24V Door Holder</t>
  </si>
  <si>
    <t>4101-3001 — Flush Mount 24V Door Holder (Ampac)</t>
  </si>
  <si>
    <t>ampac 4101-3001 flush mount 24v door holder</t>
  </si>
  <si>
    <t>4101-2001</t>
  </si>
  <si>
    <t>Floor Mount 200N 24V Cast Aluminium Door Holder</t>
  </si>
  <si>
    <t>4101-2001 — Floor Mount 200N 24V Cast Aluminium Door Holder (Ampac)</t>
  </si>
  <si>
    <t>ampac 4101-2001 floor mount 200n 24v cast aluminium door holder</t>
  </si>
  <si>
    <t>4101-2002</t>
  </si>
  <si>
    <t>Floor Mount 500N 24V Cast Aluminium Door Holder</t>
  </si>
  <si>
    <t>4101-2002 — Floor Mount 500N 24V Cast Aluminium Door Holder (Ampac)</t>
  </si>
  <si>
    <t>ampac 4101-2002 floor mount 500n 24v cast aluminium door holder</t>
  </si>
  <si>
    <t>4101-4001</t>
  </si>
  <si>
    <t>Universal Mount 500N Short Stand 24V Door Holder</t>
  </si>
  <si>
    <t>4101-4001 — Universal Mount 500N Short Stand 24V Door Holder (Ampac)</t>
  </si>
  <si>
    <t>ampac 4101-4001 universal mount 500n short stand 24v door holder</t>
  </si>
  <si>
    <t>4101-4002</t>
  </si>
  <si>
    <t>Universal Mount 500N Long Stand 24V Door Holder</t>
  </si>
  <si>
    <t>4101-4002 — Universal Mount 500N Long Stand 24V Door Holder (Ampac)</t>
  </si>
  <si>
    <t>ampac 4101-4002 universal mount 500n long stand 24v door holder</t>
  </si>
  <si>
    <t>4101-4003</t>
  </si>
  <si>
    <t>Universal Mount 1000N Short Stand 24V Door Holder</t>
  </si>
  <si>
    <t>4101-4003 — Universal Mount 1000N Short Stand 24V Door Holder (Ampac)</t>
  </si>
  <si>
    <t>ampac 4101-4003 universal mount 1000n short stand 24v door holder</t>
  </si>
  <si>
    <t>4101-4004</t>
  </si>
  <si>
    <t>Universal Mount 1000N Long Stand 24V Door Holder</t>
  </si>
  <si>
    <t>4101-4004 — Universal Mount 1000N Long Stand 24V Door Holder (Ampac)</t>
  </si>
  <si>
    <t>ampac 4101-4004 universal mount 1000n long stand 24v door holder</t>
  </si>
  <si>
    <t>4101-5001</t>
  </si>
  <si>
    <t>IP65 Protected 1200N 24V Door Holder</t>
  </si>
  <si>
    <t>4101-5001 — IP65 Protected 1200N 24V Door Holder (Ampac)</t>
  </si>
  <si>
    <t>ampac 4101-5001 ip65 protected 1200n 24v door holder</t>
  </si>
  <si>
    <t>4101-6001</t>
  </si>
  <si>
    <t>Floor Mounting Bracket</t>
  </si>
  <si>
    <t>4101-6001 — Floor Mounting Bracket (Ampac)</t>
  </si>
  <si>
    <t>ampac 4101-6001 floor mounting bracket</t>
  </si>
  <si>
    <t>268-0003</t>
  </si>
  <si>
    <t>Remote Door Release Plate Vertical Screen</t>
  </si>
  <si>
    <t>268-0003 — Remote Door Release Plate Vertical Screen (Ampac)</t>
  </si>
  <si>
    <t>ampac 268-0003 remote door release plate vertical screen</t>
  </si>
  <si>
    <t>268-0010</t>
  </si>
  <si>
    <t>Remote Door Release Plate Horizontal Screen</t>
  </si>
  <si>
    <t>268-0010 — Remote Door Release Plate Horizontal Screen (Ampac)</t>
  </si>
  <si>
    <t>ampac 268-0010 remote door release plate horizontal screen</t>
  </si>
  <si>
    <t>210-0008</t>
  </si>
  <si>
    <t>12V 1.3AH SLA Battery</t>
  </si>
  <si>
    <t>210-0008 — 12V 1.3AH SLA Battery (Ampac)</t>
  </si>
  <si>
    <t>ampac 210-0008 12v 1.3ah sla battery</t>
  </si>
  <si>
    <t>210-0006</t>
  </si>
  <si>
    <t>12V 3.2AH SLA Battery</t>
  </si>
  <si>
    <t>210-0006 — 12V 3.2AH SLA Battery (Ampac)</t>
  </si>
  <si>
    <t>ampac 210-0006 12v 3.2ah sla battery</t>
  </si>
  <si>
    <t>210-0016</t>
  </si>
  <si>
    <t>12V 7AH SLA Battery</t>
  </si>
  <si>
    <t>210-0016 — 12V 7AH SLA Battery (Ampac)</t>
  </si>
  <si>
    <t>ampac 210-0016 12v 7ah sla battery</t>
  </si>
  <si>
    <t>210-0010</t>
  </si>
  <si>
    <t>12V 12AH SLA Battery</t>
  </si>
  <si>
    <t>210-0010 — 12V 12AH SLA Battery (Ampac)</t>
  </si>
  <si>
    <t>ampac 210-0010 12v 12ah sla battery</t>
  </si>
  <si>
    <t>210-0003</t>
  </si>
  <si>
    <t>12V 18AH SLA Battery</t>
  </si>
  <si>
    <t>210-0003 — 12V 18AH SLA Battery (Ampac)</t>
  </si>
  <si>
    <t>ampac 210-0003 12v 18ah sla battery</t>
  </si>
  <si>
    <t>210-0012</t>
  </si>
  <si>
    <t>12V 26AH SLA Battery</t>
  </si>
  <si>
    <t>210-0012 — 12V 26AH SLA Battery (Ampac)</t>
  </si>
  <si>
    <t>ampac 210-0012 12v 26ah sla battery</t>
  </si>
  <si>
    <t>210-0021</t>
  </si>
  <si>
    <t>12V 33AH SLA Battery</t>
  </si>
  <si>
    <t>210-0021 — 12V 33AH SLA Battery (Ampac)</t>
  </si>
  <si>
    <t>ampac 210-0021 12v 33ah sla battery</t>
  </si>
  <si>
    <t>210-0013</t>
  </si>
  <si>
    <t>12V 40AH SLA Battery</t>
  </si>
  <si>
    <t>210-0013 — 12V 40AH SLA Battery (Ampac)</t>
  </si>
  <si>
    <t>ampac 210-0013 12v 40ah sla battery</t>
  </si>
  <si>
    <t>210-0023</t>
  </si>
  <si>
    <t>12V 55AH SLA Battery</t>
  </si>
  <si>
    <t>210-0023 — 12V 55AH SLA Battery (Ampac)</t>
  </si>
  <si>
    <t>ampac 210-0023 12v 55ah sla battery</t>
  </si>
  <si>
    <t>210-0015</t>
  </si>
  <si>
    <t>12V 65AH SLA Battery</t>
  </si>
  <si>
    <t>210-0015 — 12V 65AH SLA Battery (Ampac)</t>
  </si>
  <si>
    <t>ampac 210-0015 12v 65ah sla battery</t>
  </si>
  <si>
    <t>210-0004</t>
  </si>
  <si>
    <t>12V 75AH SLA Battery</t>
  </si>
  <si>
    <t>210-0004 — 12V 75AH SLA Battery (Ampac)</t>
  </si>
  <si>
    <t>ampac 210-0004 12v 75ah sla battery</t>
  </si>
  <si>
    <t>210-0002</t>
  </si>
  <si>
    <t>12V 100AH SLA Battery</t>
  </si>
  <si>
    <t>210-0002 — 12V 100AH SLA Battery (Ampac)</t>
  </si>
  <si>
    <t>ampac 210-0002 12v 100ah sla battery</t>
  </si>
  <si>
    <t>210-0022</t>
  </si>
  <si>
    <t>12V 120AH SLA Battery</t>
  </si>
  <si>
    <t>210-0022 — 12V 120AH SLA Battery (Ampac)</t>
  </si>
  <si>
    <t>ampac 210-0022 12v 120ah sla battery</t>
  </si>
  <si>
    <t>210-0017</t>
  </si>
  <si>
    <t>12V 150AH SLA Battery</t>
  </si>
  <si>
    <t>210-0017 — 12V 150AH SLA Battery (Ampac)</t>
  </si>
  <si>
    <t>ampac 210-0017 12v 150ah sla battery</t>
  </si>
  <si>
    <t>210-0038</t>
  </si>
  <si>
    <t>12V 190AH SLA Battery</t>
  </si>
  <si>
    <t>210-0038 — 12V 190AH SLA Battery (Ampac)</t>
  </si>
  <si>
    <t>ampac 210-0038 12v 190ah sla battery</t>
  </si>
  <si>
    <t>210-0011</t>
  </si>
  <si>
    <t>12V 200AH SLA Battery</t>
  </si>
  <si>
    <t>210-0011 — 12V 200AH SLA Battery (Ampac)</t>
  </si>
  <si>
    <t>ampac 210-0011 12v 200ah sla battery</t>
  </si>
  <si>
    <t>210-0024</t>
  </si>
  <si>
    <t>12V 250AH SLA Battery</t>
  </si>
  <si>
    <t>210-0024 — 12V 250AH SLA Battery (Ampac)</t>
  </si>
  <si>
    <t>ampac 210-0024 12v 250ah sla battery</t>
  </si>
  <si>
    <t>4510-1100</t>
  </si>
  <si>
    <t>MultiAmp-DH 250MA Flush Mount</t>
  </si>
  <si>
    <t>4510-1100 — MultiAmp-DH 250MA Flush Mount (Ampac)</t>
  </si>
  <si>
    <t>ampac 4510-1100 multiamp-dh 250ma flush mount</t>
  </si>
  <si>
    <t>4510-1101</t>
  </si>
  <si>
    <t>MultiAmp-DH 250MA Surface Mount</t>
  </si>
  <si>
    <t>4510-1101 — MultiAmp-DH 250MA Surface Mount (Ampac)</t>
  </si>
  <si>
    <t>ampac 4510-1101 multiamp-dh 250ma surface mount</t>
  </si>
  <si>
    <t>4510-8102</t>
  </si>
  <si>
    <t>2A PSU — Space for 2 x 12AH Batteries</t>
  </si>
  <si>
    <t>4510-8102 — 2A PSU — Space for 2 x 12AH Batteries (Ampac)</t>
  </si>
  <si>
    <t>ampac 4510-8102 2a psu — space for 2 x 12ah batteries</t>
  </si>
  <si>
    <t>4510-8202</t>
  </si>
  <si>
    <t>2A PSU — Space for 2 x 38AH Batteries</t>
  </si>
  <si>
    <t>4510-8202 — 2A PSU — Space for 2 x 38AH Batteries (Ampac)</t>
  </si>
  <si>
    <t>ampac 4510-8202 2a psu — space for 2 x 38ah batteries</t>
  </si>
  <si>
    <t>4510-8205</t>
  </si>
  <si>
    <t>5A PSU — Space for 2 x 38AH Batteries</t>
  </si>
  <si>
    <t>4510-8205 — 5A PSU — Space for 2 x 38AH Batteries (Ampac)</t>
  </si>
  <si>
    <t>ampac 4510-8205 5a psu — space for 2 x 38ah batteries</t>
  </si>
  <si>
    <t>4510-8210</t>
  </si>
  <si>
    <t>10A PSU — Space for 2 x 38AH Batteries</t>
  </si>
  <si>
    <t>4510-8210 — 10A PSU — Space for 2 x 38AH Batteries (Ampac)</t>
  </si>
  <si>
    <t>ampac 4510-8210 10a psu — space for 2 x 38ah batteries</t>
  </si>
  <si>
    <t>4510-8305</t>
  </si>
  <si>
    <t>5A PSU — Space for 2 x 65AH Batteries</t>
  </si>
  <si>
    <t>4510-8305 — 5A PSU — Space for 2 x 65AH Batteries (Ampac)</t>
  </si>
  <si>
    <t>ampac 4510-8305 5a psu — space for 2 x 65ah batteries</t>
  </si>
  <si>
    <t>4510-8310</t>
  </si>
  <si>
    <t>10A PSU — Space for 2 x 65AH Batteries</t>
  </si>
  <si>
    <t>4510-8310 — 10A PSU — Space for 2 x 65AH Batteries (Ampac)</t>
  </si>
  <si>
    <t>ampac 4510-8310 10a psu — space for 2 x 65ah batteries</t>
  </si>
  <si>
    <t>4510-9002</t>
  </si>
  <si>
    <t>2A 27.6VDC PSU Module</t>
  </si>
  <si>
    <t>4510-9002 — 2A 27.6VDC PSU Module (Ampac)</t>
  </si>
  <si>
    <t>ampac 4510-9002 2a 27.6vdc psu module</t>
  </si>
  <si>
    <t>4510-9005</t>
  </si>
  <si>
    <t>5A 27.6VDC PSU Module</t>
  </si>
  <si>
    <t>4510-9005 — 5A 27.6VDC PSU Module (Ampac)</t>
  </si>
  <si>
    <t>ampac 4510-9005 5a 27.6vdc psu module</t>
  </si>
  <si>
    <t>4510-9010</t>
  </si>
  <si>
    <t>10A 27.6VDC PSU Module</t>
  </si>
  <si>
    <t>4510-9010 — 10A 27.6VDC PSU Module (Ampac)</t>
  </si>
  <si>
    <t>ampac 4510-9010 10a 27.6vdc psu module</t>
  </si>
  <si>
    <t>159-0161</t>
  </si>
  <si>
    <t>5A Door Holder PSU inc 5A Relay</t>
  </si>
  <si>
    <t>159-0161 — 5A Door Holder PSU inc 5A Relay (Ampac)</t>
  </si>
  <si>
    <t>ampac 159-0161 5a door holder psu inc 5a relay</t>
  </si>
  <si>
    <t>215-0003</t>
  </si>
  <si>
    <t>Break Glass Key Holder D2</t>
  </si>
  <si>
    <t>215-0003 — Break Glass Key Holder D2 (Ampac)</t>
  </si>
  <si>
    <t>ampac 215-0003 break glass key holder d2</t>
  </si>
  <si>
    <t>268-0002</t>
  </si>
  <si>
    <t>Wall Box Metal 25mm Deep for MCPs</t>
  </si>
  <si>
    <t>268-0002 — Wall Box Metal 25mm Deep for MCPs (Ampac)</t>
  </si>
  <si>
    <t>ampac 268-0002 wall box metal 25mm deep for mcps</t>
  </si>
  <si>
    <t>201-0101</t>
  </si>
  <si>
    <t>Mounting Block for S65/XP95 Base</t>
  </si>
  <si>
    <t>201-0101 — Mounting Block for S65/XP95 Base (Ampac)</t>
  </si>
  <si>
    <t>ampac 201-0101 mounting block for s65/xp95 base</t>
  </si>
  <si>
    <t>4112-2004</t>
  </si>
  <si>
    <t>Smoke Detector Cage 75Dx175mm</t>
  </si>
  <si>
    <t>4112-2004 — Smoke Detector Cage 75Dx175mm (Ampac)</t>
  </si>
  <si>
    <t>ampac 4112-2004 smoke detector cage 75dx175mm</t>
  </si>
  <si>
    <t>4112-2005</t>
  </si>
  <si>
    <t>Smoke Detector Cage 95Dx175mm</t>
  </si>
  <si>
    <t>4112-2005 — Smoke Detector Cage 95Dx175mm (Ampac)</t>
  </si>
  <si>
    <t>ampac 4112-2005 smoke detector cage 95dx175mm</t>
  </si>
  <si>
    <t>4112-2018</t>
  </si>
  <si>
    <t>Rapid Bracket Main Assembly</t>
  </si>
  <si>
    <t>4112-2018 — Rapid Bracket Main Assembly (Ampac)</t>
  </si>
  <si>
    <t>ampac 4112-2018 rapid bracket main assembly</t>
  </si>
  <si>
    <t>4112-2019</t>
  </si>
  <si>
    <t>Rapid Bracket 1M Tube</t>
  </si>
  <si>
    <t>4112-2019 — Rapid Bracket 1M Tube (Ampac)</t>
  </si>
  <si>
    <t>ampac 4112-2019 rapid bracket 1m tube</t>
  </si>
  <si>
    <t>4112-2020</t>
  </si>
  <si>
    <t>Rapid Bracket 3M Tube</t>
  </si>
  <si>
    <t>4112-2020 — Rapid Bracket 3M Tube (Ampac)</t>
  </si>
  <si>
    <t>ampac 4112-2020 rapid bracket 3m tube</t>
  </si>
  <si>
    <t>204-0014</t>
  </si>
  <si>
    <t>Smoke Detector Test Gas 250ml Aerosol</t>
  </si>
  <si>
    <t>204-0014 — Smoke Detector Test Gas 250ml Aerosol (Ampac)</t>
  </si>
  <si>
    <t>ampac 204-0014 smoke detector test gas 250ml aerosol</t>
  </si>
  <si>
    <t>204-0015</t>
  </si>
  <si>
    <t>Canned Smoke 150ml Handheld</t>
  </si>
  <si>
    <t>204-0015 — Canned Smoke 150ml Handheld (Ampac)</t>
  </si>
  <si>
    <t>ampac 204-0015 canned smoke 150ml handheld</t>
  </si>
  <si>
    <t>204-0020</t>
  </si>
  <si>
    <t>Carbon Monoxide Smoke Can Detector Tester (Test Pole)</t>
  </si>
  <si>
    <t>204-0020 — Carbon Monoxide Smoke Can Detector Tester (Test Pole) (Ampac)</t>
  </si>
  <si>
    <t>ampac 204-0020 carbon monoxide smoke can detector tester (test pole)</t>
  </si>
  <si>
    <t>204-0030</t>
  </si>
  <si>
    <t>Smoke Stick Holder &amp; 6 Refills (Ampac branded)</t>
  </si>
  <si>
    <t>204-0030 — Smoke Stick Holder &amp; 6 Refills (Ampac branded) (Ampac)</t>
  </si>
  <si>
    <t>ampac 204-0030 smoke stick holder &amp; 6 refills (ampac branded)</t>
  </si>
  <si>
    <t>204-0031</t>
  </si>
  <si>
    <t>Smoke Stick Refills Pack of 6 (Ampac branded)</t>
  </si>
  <si>
    <t>204-0031 — Smoke Stick Refills Pack of 6 (Ampac branded) (Ampac)</t>
  </si>
  <si>
    <t>ampac 204-0031 smoke stick refills pack of 6 (ampac branded)</t>
  </si>
  <si>
    <t>4112-2009</t>
  </si>
  <si>
    <t>Ampac Loop Tester</t>
  </si>
  <si>
    <t>4112-2009 — Ampac Loop Tester (Ampac)</t>
  </si>
  <si>
    <t>ampac 4112-2009 ampac loop tester</t>
  </si>
  <si>
    <t>FireSense</t>
  </si>
  <si>
    <t>BATT-1.2</t>
  </si>
  <si>
    <t>Battery set 1.2ah (2x12v)</t>
  </si>
  <si>
    <t>BATT-1.2 — Battery set 1.2ah (2x12v) (FireSense)</t>
  </si>
  <si>
    <t>firesense batt-1.2 battery set 1.2ah (2x12v)</t>
  </si>
  <si>
    <t>BATT-100</t>
  </si>
  <si>
    <t>Battery set 100ah (2x12v)</t>
  </si>
  <si>
    <t>BATT-100 — Battery set 100ah (2x12v) (FireSense)</t>
  </si>
  <si>
    <t>firesense batt-100 battery set 100ah (2x12v)</t>
  </si>
  <si>
    <t>BATT-12</t>
  </si>
  <si>
    <t>Battery set 12ah (2x12v)</t>
  </si>
  <si>
    <t>BATT-12 — Battery set 12ah (2x12v) (FireSense)</t>
  </si>
  <si>
    <t>firesense batt-12 battery set 12ah (2x12v)</t>
  </si>
  <si>
    <t>BATT-120</t>
  </si>
  <si>
    <t>Battery set 120ah (2x12v)</t>
  </si>
  <si>
    <t>BATT-120 — Battery set 120ah (2x12v) (FireSense)</t>
  </si>
  <si>
    <t>firesense batt-120 battery set 120ah (2x12v)</t>
  </si>
  <si>
    <t>BATT-12V-100-DC</t>
  </si>
  <si>
    <t>Battery 100ah Deep Cycle (1x12v)</t>
  </si>
  <si>
    <t>BATT-12V-100-DC — Battery 100ah Deep Cycle (1x12v) (FireSense)</t>
  </si>
  <si>
    <t>firesense batt-12v-100-dc battery 100ah deep cycle (1x12v)</t>
  </si>
  <si>
    <t>BATT-12V-120-DC</t>
  </si>
  <si>
    <t>Battery 120ah Deep Cycle (1x12v)</t>
  </si>
  <si>
    <t>BATT-12V-120-DC — Battery 120ah Deep Cycle (1x12v) (FireSense)</t>
  </si>
  <si>
    <t>firesense batt-12v-120-dc battery 120ah deep cycle (1x12v)</t>
  </si>
  <si>
    <t>BATT-12V-75-DC</t>
  </si>
  <si>
    <t>Battery 75ah Deep Cycle (1x12v)</t>
  </si>
  <si>
    <t>BATT-12V-75-DC — Battery 75ah Deep Cycle (1x12v) (FireSense)</t>
  </si>
  <si>
    <t>firesense batt-12v-75-dc battery 75ah deep cycle (1x12v)</t>
  </si>
  <si>
    <t>BATT-12V-85-DC</t>
  </si>
  <si>
    <t>Battery 85ah Deep Cycle (1x12v)</t>
  </si>
  <si>
    <t>BATT-12V-85-DC — Battery 85ah Deep Cycle (1x12v) (FireSense)</t>
  </si>
  <si>
    <t>firesense batt-12v-85-dc battery 85ah deep cycle (1x12v)</t>
  </si>
  <si>
    <t>BATT-150</t>
  </si>
  <si>
    <t>Battery set 150ah (2x12v)</t>
  </si>
  <si>
    <t>BATT-150 — Battery set 150ah (2x12v) (FireSense)</t>
  </si>
  <si>
    <t>firesense batt-150 battery set 150ah (2x12v)</t>
  </si>
  <si>
    <t>BATT-18</t>
  </si>
  <si>
    <t>Battery set 18ah (2x12v)</t>
  </si>
  <si>
    <t>BATT-18 — Battery set 18ah (2x12v) (FireSense)</t>
  </si>
  <si>
    <t>firesense batt-18 battery set 18ah (2x12v)</t>
  </si>
  <si>
    <t>BATT-2.3</t>
  </si>
  <si>
    <t>Battery set 2.3ah (2x12v)</t>
  </si>
  <si>
    <t>BATT-2.3 — Battery set 2.3ah (2x12v) (FireSense)</t>
  </si>
  <si>
    <t>firesense batt-2.3 battery set 2.3ah (2x12v)</t>
  </si>
  <si>
    <t>BATT-200</t>
  </si>
  <si>
    <t>Battery set 200ah (2x12v)</t>
  </si>
  <si>
    <t>BATT-200 — Battery set 200ah (2x12v) (FireSense)</t>
  </si>
  <si>
    <t>firesense batt-200 battery set 200ah (2x12v)</t>
  </si>
  <si>
    <t>BATT-22</t>
  </si>
  <si>
    <t>Battery set 22ah (2x12v) same case size as BATT-18</t>
  </si>
  <si>
    <t>BATT-22 — Battery set 22ah (2x12v) same case size as BATT-18 (FireSense)</t>
  </si>
  <si>
    <t>firesense batt-22 battery set 22ah (2x12v) same case size as batt-18</t>
  </si>
  <si>
    <t>BATT-26</t>
  </si>
  <si>
    <t>Battery set 26ah (2x12v)</t>
  </si>
  <si>
    <t>BATT-26 — Battery set 26ah (2x12v) (FireSense)</t>
  </si>
  <si>
    <t>firesense batt-26 battery set 26ah (2x12v)</t>
  </si>
  <si>
    <t>BATT-33</t>
  </si>
  <si>
    <t>Battery set 33ah (2x12v)</t>
  </si>
  <si>
    <t>BATT-33 — Battery set 33ah (2x12v) (FireSense)</t>
  </si>
  <si>
    <t>firesense batt-33 battery set 33ah (2x12v)</t>
  </si>
  <si>
    <t>BATT-40</t>
  </si>
  <si>
    <t>Battery set 40ah (2x12v)</t>
  </si>
  <si>
    <t>BATT-40 — Battery set 40ah (2x12v) (FireSense)</t>
  </si>
  <si>
    <t>firesense batt-40 battery set 40ah (2x12v)</t>
  </si>
  <si>
    <t>BATT-45</t>
  </si>
  <si>
    <t>Battery set 45ah (2x12v)</t>
  </si>
  <si>
    <t>BATT-45 — Battery set 45ah (2x12v) (FireSense)</t>
  </si>
  <si>
    <t>firesense batt-45 battery set 45ah (2x12v)</t>
  </si>
  <si>
    <t>BATT-55</t>
  </si>
  <si>
    <t>Battery set 55ah (2x12v)</t>
  </si>
  <si>
    <t>BATT-55 — Battery set 55ah (2x12v) (FireSense)</t>
  </si>
  <si>
    <t>firesense batt-55 battery set 55ah (2x12v)</t>
  </si>
  <si>
    <t>BATT-65</t>
  </si>
  <si>
    <t>Battery set 65ah (2x12v)</t>
  </si>
  <si>
    <t>BATT-65 — Battery set 65ah (2x12v) (FireSense)</t>
  </si>
  <si>
    <t>firesense batt-65 battery set 65ah (2x12v)</t>
  </si>
  <si>
    <t>BATT-7</t>
  </si>
  <si>
    <t>Battery set 7ah (2x12v)</t>
  </si>
  <si>
    <t>BATT-7 — Battery set 7ah (2x12v) (FireSense)</t>
  </si>
  <si>
    <t>firesense batt-7 battery set 7ah (2x12v)</t>
  </si>
  <si>
    <t>BATT-75</t>
  </si>
  <si>
    <t>Battery set 75ah (2x12v)</t>
  </si>
  <si>
    <t>BATT-75 — Battery set 75ah (2x12v) (FireSense)</t>
  </si>
  <si>
    <t>firesense batt-75 battery set 75ah (2x12v)</t>
  </si>
  <si>
    <t>BATT-85</t>
  </si>
  <si>
    <t>Battery set 85ah (2x12v)</t>
  </si>
  <si>
    <t>BATT-85 — Battery set 85ah (2x12v) (FireSense)</t>
  </si>
  <si>
    <t>firesense batt-85 battery set 85ah (2x12v)</t>
  </si>
  <si>
    <t>BELL-6</t>
  </si>
  <si>
    <t>150mm - 6" Alarm bell - 24Vdc</t>
  </si>
  <si>
    <t>BELL-6 — 150mm - 6" Alarm bell - 24Vdc (FireSense)</t>
  </si>
  <si>
    <t>firesense bell-6 150mm - 6" alarm bell - 24vdc</t>
  </si>
  <si>
    <t>BELL-6-12V</t>
  </si>
  <si>
    <t>150mm - 6" Alarm bell - 12Vdc</t>
  </si>
  <si>
    <t>BELL-6-12V — 150mm - 6" Alarm bell - 12Vdc (FireSense)</t>
  </si>
  <si>
    <t>firesense bell-6-12v 150mm - 6" alarm bell - 12vdc</t>
  </si>
  <si>
    <t>BELL-8</t>
  </si>
  <si>
    <t>200mm - 8" Alarm bell - 24Vdc</t>
  </si>
  <si>
    <t>BELL-8 — 200mm - 8" Alarm bell - 24Vdc (FireSense)</t>
  </si>
  <si>
    <t>firesense bell-8 200mm - 8" alarm bell - 24vdc</t>
  </si>
  <si>
    <t>BELL-BASE</t>
  </si>
  <si>
    <t>Mounting base to suit 6" and 8" bells</t>
  </si>
  <si>
    <t>BELL-BASE — Mounting base to suit 6" and 8" bells (FireSense)</t>
  </si>
  <si>
    <t>firesense bell-base mounting base to suit 6" and 8" bells</t>
  </si>
  <si>
    <t>CWSO-RR-S1</t>
  </si>
  <si>
    <t>ENScape Surface mount sounder - red low profile base</t>
  </si>
  <si>
    <t>CWSO-RR-S1 — ENScape Surface mount sounder - red low profile base (FireSense)</t>
  </si>
  <si>
    <t>firesense cwso-rr-s1 enscape surface mount sounder - red low profile base</t>
  </si>
  <si>
    <t>CWSO-WW-S1</t>
  </si>
  <si>
    <t>ENScape Surface mount sounder - white low profile base</t>
  </si>
  <si>
    <t>CWSO-WW-S1 — ENScape Surface mount sounder - white low profile base (FireSense)</t>
  </si>
  <si>
    <t>firesense cwso-ww-s1 enscape surface mount sounder - white low profile base</t>
  </si>
  <si>
    <t>CWSS-RR-S5</t>
  </si>
  <si>
    <t>ENScape Sounder Beacon (VAD) red body:red flash:clear lens:low profile base</t>
  </si>
  <si>
    <t>CWSS-RR-S5 — ENScape Sounder Beacon (VAD) red body:red flash:clear lens:low profile base (FireSense)</t>
  </si>
  <si>
    <t>firesense cwss-rr-s5 enscape sounder beacon (vad) red body:red flash:clear lens:low profile base</t>
  </si>
  <si>
    <t>ENScape Sounder Beacon (VAD) red body:red flash:clear lens:IP65/deep base</t>
  </si>
  <si>
    <t>CWSS-RR-W5 — ENScape Sounder Beacon (VAD) red body:red flash:clear lens:IP65/deep base (FireSense)</t>
  </si>
  <si>
    <t>firesense cwss-rr-w5 enscape sounder beacon (vad) red body:red flash:clear lens:ip65/deep base</t>
  </si>
  <si>
    <t>CWSS-RW-S5</t>
  </si>
  <si>
    <t>ENScape Sounder Beacon (VAD) red body:white flash:clear lens:low profile base</t>
  </si>
  <si>
    <t>CWSS-RW-S5 — ENScape Sounder Beacon (VAD) red body:white flash:clear lens:low profile base (FireSense)</t>
  </si>
  <si>
    <t>firesense cwss-rw-s5 enscape sounder beacon (vad) red body:white flash:clear lens:low profile base</t>
  </si>
  <si>
    <t>CWSS-WW-S5</t>
  </si>
  <si>
    <t>ENScape Sounder Beacon (VAD) white body:white flash:clear lens:low profile base</t>
  </si>
  <si>
    <t>CWSS-WW-S5 — ENScape Sounder Beacon (VAD) white body:white flash:clear lens:low profile base (FireSense)</t>
  </si>
  <si>
    <t>firesense cwss-ww-s5 enscape sounder beacon (vad) white body:white flash:clear lens:low profile base</t>
  </si>
  <si>
    <t>CWST-RR-S5</t>
  </si>
  <si>
    <t>ENScape Beacon (VAD) red body:red flash:clear lens:low profile base</t>
  </si>
  <si>
    <t>CWST-RR-S5 — ENScape Beacon (VAD) red body:red flash:clear lens:low profile base (FireSense)</t>
  </si>
  <si>
    <t>firesense cwst-rr-s5 enscape beacon (vad) red body:red flash:clear lens:low profile base</t>
  </si>
  <si>
    <t>CWST-RR-W5</t>
  </si>
  <si>
    <t>ENScape Beacon (VAD) red body:red flash:clear lens:IP65/deep base</t>
  </si>
  <si>
    <t>CWST-RR-W5 — ENScape Beacon (VAD) red body:red flash:clear lens:IP65/deep base (FireSense)</t>
  </si>
  <si>
    <t>firesense cwst-rr-w5 enscape beacon (vad) red body:red flash:clear lens:ip65/deep base</t>
  </si>
  <si>
    <t>CWST-RW-S5</t>
  </si>
  <si>
    <t>ENScape Beacon (VAD) red body:white flash:clear lens:low profile base</t>
  </si>
  <si>
    <t>CWST-RW-S5 — ENScape Beacon (VAD) red body:white flash:clear lens:low profile base (FireSense)</t>
  </si>
  <si>
    <t>firesense cwst-rw-s5 enscape beacon (vad) red body:white flash:clear lens:low profile base</t>
  </si>
  <si>
    <t>CWST-WW-S5</t>
  </si>
  <si>
    <t>ENScape Beacon (VAD) white body:white flash:clear lens:low profile base</t>
  </si>
  <si>
    <t>CWST-WW-S5 — ENScape Beacon (VAD) white body:white flash:clear lens:low profile base (FireSense)</t>
  </si>
  <si>
    <t>firesense cwst-ww-s5 enscape beacon (vad) white body:white flash:clear lens:low profile base</t>
  </si>
  <si>
    <t>CWST-WW-W5</t>
  </si>
  <si>
    <t>ENScape Beacon (VAD) white body:white flash:clear lens:IP65/deep base</t>
  </si>
  <si>
    <t>CWST-WW-W5 — ENScape Beacon (VAD) white body:white flash:clear lens:IP65/deep base (FireSense)</t>
  </si>
  <si>
    <t>firesense cwst-ww-w5 enscape beacon (vad) white body:white flash:clear lens:ip65/deep base</t>
  </si>
  <si>
    <t>DET-GUARD</t>
  </si>
  <si>
    <t>Detector Guard - White Wire Style</t>
  </si>
  <si>
    <t>DET-GUARD — Detector Guard - White Wire Style (FireSense)</t>
  </si>
  <si>
    <t>firesense det-guard detector guard - white wire style</t>
  </si>
  <si>
    <t>DET-GUARD-8200-W</t>
  </si>
  <si>
    <t>Detector Guard - White Punched Metal Style</t>
  </si>
  <si>
    <t>DET-GUARD-8200-W — Detector Guard - White Punched Metal Style (FireSense)</t>
  </si>
  <si>
    <t>firesense det-guard-8200-w detector guard - white punched metal style</t>
  </si>
  <si>
    <t>DET-GUARD-8201-W</t>
  </si>
  <si>
    <t>Detector Guard Spacer 50mm - to suit STI-8200-W</t>
  </si>
  <si>
    <t>DET-GUARD-8201-W — Detector Guard Spacer 50mm - to suit STI-8200-W (FireSense)</t>
  </si>
  <si>
    <t>firesense det-guard-8201-w detector guard spacer 50mm - to suit sti-8200-w</t>
  </si>
  <si>
    <t>DET-GUARD-CLEAR</t>
  </si>
  <si>
    <t>Detector Guard - Clear Plastic Style</t>
  </si>
  <si>
    <t>DET-GUARD-CLEAR — Detector Guard - Clear Plastic Style (FireSense)</t>
  </si>
  <si>
    <t>firesense det-guard-clear detector guard - clear plastic style</t>
  </si>
  <si>
    <t>DGP1</t>
  </si>
  <si>
    <t>DGP1 - Metal Mounting box for 1 by XP/AZM modules</t>
  </si>
  <si>
    <t>DGP1 — DGP1 - Metal Mounting box for 1 by XP/AZM modules (FireSense)</t>
  </si>
  <si>
    <t>firesense dgp1 dgp1 - metal mounting box for 1 by xp/azm modules</t>
  </si>
  <si>
    <t>DGP2</t>
  </si>
  <si>
    <t>DGP2 - Metal Mounting box for 2 by XP/AZM modules</t>
  </si>
  <si>
    <t>DGP2 — DGP2 - Metal Mounting box for 2 by XP/AZM modules (FireSense)</t>
  </si>
  <si>
    <t>firesense dgp2 dgp2 - metal mounting box for 2 by xp/azm modules</t>
  </si>
  <si>
    <t>DGP4</t>
  </si>
  <si>
    <t>DGP4 - Metal Mounting box for 4 by XP/AZM modules</t>
  </si>
  <si>
    <t>DGP4 — DGP4 - Metal Mounting box for 4 by XP/AZM modules (FireSense)</t>
  </si>
  <si>
    <t>firesense dgp4 dgp4 - metal mounting box for 4 by xp/azm modules</t>
  </si>
  <si>
    <t>E2S-BExBG05-D-24DC-RD</t>
  </si>
  <si>
    <t>5 Joule Hazardous Area Red Beacon 24vdc IECEx Version - 270ma</t>
  </si>
  <si>
    <t>E2S-BExBG05-D-24DC-RD — 5 Joule Hazardous Area Red Beacon 24vdc IECEx Version - 270ma (FireSense)</t>
  </si>
  <si>
    <t>firesense e2s-bexbg05-d-24dc-rd 5 joule hazardous area red beacon 24vdc iecex version - 270ma</t>
  </si>
  <si>
    <t>E2S-BExBG10-E-24DC-RD</t>
  </si>
  <si>
    <t>10 Joule Hazardous Area Red Beacon 24vdc IECEx Version - 660ma</t>
  </si>
  <si>
    <t>E2S-BExBG10-E-24DC-RD — 10 Joule Hazardous Area Red Beacon 24vdc IECEx Version - 660ma (FireSense)</t>
  </si>
  <si>
    <t>firesense e2s-bexbg10-e-24dc-rd 10 joule hazardous area red beacon 24vdc iecex version - 660ma</t>
  </si>
  <si>
    <t>E2S-BExDL15D-100V</t>
  </si>
  <si>
    <t>15W Hazardous Area Horn Speaker 100v Line</t>
  </si>
  <si>
    <t>E2S-BExDL15D-100V — 15W Hazardous Area Horn Speaker 100v Line (FireSense)</t>
  </si>
  <si>
    <t>firesense e2s-bexdl15d-100v 15w hazardous area horn speaker 100v line</t>
  </si>
  <si>
    <t>E2S-IS-mC1-R-R</t>
  </si>
  <si>
    <t>Minalert Sounder and Beacon Red 24vdc - 48ma</t>
  </si>
  <si>
    <t>E2S-IS-mC1-R-R — Minalert Sounder and Beacon Red 24vdc - 48ma (FireSense)</t>
  </si>
  <si>
    <t>firesense e2s-is-mc1-r-r minalert sounder and beacon red 24vdc - 48ma</t>
  </si>
  <si>
    <t>FLASHNI</t>
  </si>
  <si>
    <t>FLASHNI - Combined Sounder Strobe 90dB IP54</t>
  </si>
  <si>
    <t>FLASHNI — FLASHNI - Combined Sounder Strobe 90dB IP54 (FireSense)</t>
  </si>
  <si>
    <t>firesense flashni flashni - combined sounder strobe 90db ip54</t>
  </si>
  <si>
    <t>FS-H10-G-7240</t>
  </si>
  <si>
    <t>Redback 10w Horn Speaker - Grey</t>
  </si>
  <si>
    <t>FS-H10-G-7240 — Redback 10w Horn Speaker - Grey (FireSense)</t>
  </si>
  <si>
    <t>firesense fs-h10-g-7240 redback 10w horn speaker - grey</t>
  </si>
  <si>
    <t>FS-PRJ-15-7240</t>
  </si>
  <si>
    <t>L-VJP15A/EN-W - AS7240 Approved 15w Sound Projector - White</t>
  </si>
  <si>
    <t>FS-PRJ-15-7240 — L-VJP15A/EN-W - AS7240 Approved 15w Sound Projector - White (FireSense)</t>
  </si>
  <si>
    <t>firesense fs-prj-15-7240 l-vjp15a/en-w - as7240 approved 15w sound projector - white</t>
  </si>
  <si>
    <t>FS-PRJ-15-7240-BK</t>
  </si>
  <si>
    <t>L-VJP15A/EN-BK - AS7240 Approved 15w Sound Projector - Black</t>
  </si>
  <si>
    <t>FS-PRJ-15-7240-BK — L-VJP15A/EN-BK - AS7240 Approved 15w Sound Projector - Black (FireSense)</t>
  </si>
  <si>
    <t>firesense fs-prj-15-7240-bk l-vjp15a/en-bk - as7240 approved 15w sound projector - black</t>
  </si>
  <si>
    <t>FS-SP4-7240</t>
  </si>
  <si>
    <t>FireSense FS-SP4-7240 : 100mm ceiling speaker with metal grill</t>
  </si>
  <si>
    <t>FS-SP4-7240 — FireSense FS-SP4-7240 : 100mm ceiling speaker with metal grill (FireSense)</t>
  </si>
  <si>
    <t>firesense fs-sp4-7240 firesense fs-sp4-7240 : 100mm ceiling speaker with metal grill</t>
  </si>
  <si>
    <t>FS-SP4-7240-BK</t>
  </si>
  <si>
    <t>FireSense FS-SP4-7240-BK : 100mm ceiling speaker with metal grill - Black</t>
  </si>
  <si>
    <t>FS-SP4-7240-BK — FireSense FS-SP4-7240-BK : 100mm ceiling speaker with metal grill - Black (FireSense)</t>
  </si>
  <si>
    <t>firesense fs-sp4-7240-bk firesense fs-sp4-7240-bk : 100mm ceiling speaker with metal grill - black</t>
  </si>
  <si>
    <t>FS-SP4-SMB-7240</t>
  </si>
  <si>
    <t>FireSense surface mount enclosure to suit FS-SP4-7240</t>
  </si>
  <si>
    <t>FS-SP4-SMB-7240 — FireSense surface mount enclosure to suit FS-SP4-7240 (FireSense)</t>
  </si>
  <si>
    <t>firesense fs-sp4-smb-7240 firesense surface mount enclosure to suit fs-sp4-7240</t>
  </si>
  <si>
    <t>FS-SP4-SMB-7240-BK</t>
  </si>
  <si>
    <t>FireSense surface mount enclosure to suit FS-SP4-7240-BK</t>
  </si>
  <si>
    <t>FS-SP4-SMB-7240-BK — FireSense surface mount enclosure to suit FS-SP4-7240-BK (FireSense)</t>
  </si>
  <si>
    <t>firesense fs-sp4-smb-7240-bk firesense surface mount enclosure to suit fs-sp4-7240-bk</t>
  </si>
  <si>
    <t>FULL-MAINS-BASE</t>
  </si>
  <si>
    <t>240V Mains Base Red for ROSH, FLASHNI and STR-FULL</t>
  </si>
  <si>
    <t>FULL-MAINS-BASE — 240V Mains Base Red for ROSH, FLASHNI and STR-FULL (FireSense)</t>
  </si>
  <si>
    <t>firesense full-mains-base 240v mains base red for rosh, flashni and str-full</t>
  </si>
  <si>
    <t>FULL-MAINS-BASE-W</t>
  </si>
  <si>
    <t>240V Mains Base White for ROSH, FLASHNI and STR-FULL</t>
  </si>
  <si>
    <t>FULL-MAINS-BASE-W — 240V Mains Base White for ROSH, FLASHNI and STR-FULL (FireSense)</t>
  </si>
  <si>
    <t>firesense full-mains-base-w 240v mains base white for rosh, flashni and str-full</t>
  </si>
  <si>
    <t>FULL-R-D-BASE</t>
  </si>
  <si>
    <t>Fulleon RED deep base, increases IP rating to IP65</t>
  </si>
  <si>
    <t>FULL-R-D-BASE — Fulleon RED deep base, increases IP rating to IP65 (FireSense)</t>
  </si>
  <si>
    <t>firesense full-r-d-base fulleon red deep base, increases ip rating to ip65</t>
  </si>
  <si>
    <t>FULL-R-S-BASE</t>
  </si>
  <si>
    <t>Fulleon RED shallow base, IP54</t>
  </si>
  <si>
    <t>FULL-R-S-BASE — Fulleon RED shallow base, IP54 (FireSense)</t>
  </si>
  <si>
    <t>firesense full-r-s-base fulleon red shallow base, ip54</t>
  </si>
  <si>
    <t>FULL-W-D-BASE</t>
  </si>
  <si>
    <t>Fulleon WHITE deep base, increases IP rating to IP65</t>
  </si>
  <si>
    <t>FULL-W-D-BASE — Fulleon WHITE deep base, increases IP rating to IP65 (FireSense)</t>
  </si>
  <si>
    <t>firesense full-w-d-base fulleon white deep base, increases ip rating to ip65</t>
  </si>
  <si>
    <t>FULL-W-S-BASE</t>
  </si>
  <si>
    <t>Fulleon WHITE shallow base, IP54</t>
  </si>
  <si>
    <t>FULL-W-S-BASE — Fulleon WHITE shallow base, IP54 (FireSense)</t>
  </si>
  <si>
    <t>firesense full-w-s-base fulleon white shallow base, ip54</t>
  </si>
  <si>
    <t>GRILL-100</t>
  </si>
  <si>
    <t>100mm Ceiling Grill</t>
  </si>
  <si>
    <t>GRILL-100 — 100mm Ceiling Grill (FireSense)</t>
  </si>
  <si>
    <t>firesense grill-100 100mm ceiling grill</t>
  </si>
  <si>
    <t>GRILL-200</t>
  </si>
  <si>
    <t>200mm Ceiling Grill</t>
  </si>
  <si>
    <t>GRILL-200 — 200mm Ceiling Grill (FireSense)</t>
  </si>
  <si>
    <t>firesense grill-200 200mm ceiling grill</t>
  </si>
  <si>
    <t>GRM-2008</t>
  </si>
  <si>
    <t>Additional Dual Risk Gas Release Module - (Monitored Stopgas)</t>
  </si>
  <si>
    <t>GRM-2008 — Additional Dual Risk Gas Release Module - (Monitored Stopgas) (FireSense)</t>
  </si>
  <si>
    <t>firesense grm-2008 additional dual risk gas release module - (monitored stopgas)</t>
  </si>
  <si>
    <t>HOLESAW</t>
  </si>
  <si>
    <t>Holesaw - 140mm to suit 100mm Oneshot speakers</t>
  </si>
  <si>
    <t>HOLESAW — Holesaw - 140mm to suit 100mm Oneshot speakers (FireSense)</t>
  </si>
  <si>
    <t>firesense holesaw holesaw - 140mm to suit 100mm oneshot speakers</t>
  </si>
  <si>
    <t>HORN-GUARD</t>
  </si>
  <si>
    <t>Wire Guard to Suit Horn Speaker - Black</t>
  </si>
  <si>
    <t>HORN-GUARD — Wire Guard to Suit Horn Speaker - Black (FireSense)</t>
  </si>
  <si>
    <t>firesense horn-guard wire guard to suit horn speaker - black</t>
  </si>
  <si>
    <t>LABEL-FIRESERVICES</t>
  </si>
  <si>
    <t>LABEL - "FIRE SERVICES" White Text on Red 30x90mm</t>
  </si>
  <si>
    <t>LABEL-FIRESERVICES — LABEL - "FIRE SERVICES" White Text on Red 30x90mm (FireSense)</t>
  </si>
  <si>
    <t>firesense label-fireservices label - "fire services" white text on red 30x90mm</t>
  </si>
  <si>
    <t>LABEL-WIP</t>
  </si>
  <si>
    <t>LABEL - "WIP" White Text on Red 40x50mm</t>
  </si>
  <si>
    <t>LABEL-WIP — LABEL - "WIP" White Text on Red 40x50mm (FireSense)</t>
  </si>
  <si>
    <t>firesense label-wip label - "wip" white text on red 40x50mm</t>
  </si>
  <si>
    <t>MCP-F-R-M-CO</t>
  </si>
  <si>
    <t>Red break glass with clean contact and surface mount box - Fulleon</t>
  </si>
  <si>
    <t>MCP-F-R-M-CO — Red break glass with clean contact and surface mount box - Fulleon (FireSense)</t>
  </si>
  <si>
    <t>firesense mcp-f-r-m-co red break glass with clean contact and surface mount box - fulleon</t>
  </si>
  <si>
    <t>MCP-F-SF</t>
  </si>
  <si>
    <t>Spare flap for Fulleon Red Break Glass</t>
  </si>
  <si>
    <t>MCP-F-SF — Spare flap for Fulleon Red Break Glass (FireSense)</t>
  </si>
  <si>
    <t>firesense mcp-f-sf spare flap for fulleon red break glass</t>
  </si>
  <si>
    <t>MCP-K-G-M</t>
  </si>
  <si>
    <t>Green break glass with surface mount box - KAC</t>
  </si>
  <si>
    <t>MCP-K-G-M — Green break glass with surface mount box - KAC (FireSense)</t>
  </si>
  <si>
    <t>firesense mcp-k-g-m green break glass with surface mount box - kac</t>
  </si>
  <si>
    <t>MCP-K-KEY-PK10</t>
  </si>
  <si>
    <t>Spare Key  for KAC break glass -(Pack of 10)</t>
  </si>
  <si>
    <t>MCP-K-KEY-PK10 — Spare Key  for KAC break glass -(Pack of 10) (FireSense)</t>
  </si>
  <si>
    <t>firesense mcp-k-key-pk10 spare key  for kac break glass -(pack of 10)</t>
  </si>
  <si>
    <t>MCP-K-R-IP67</t>
  </si>
  <si>
    <t>Red break glass, weather proof (IP67) - KAC - Marine Grade</t>
  </si>
  <si>
    <t>MCP-K-R-IP67 — Red break glass, weather proof (IP67) - KAC - Marine Grade (FireSense)</t>
  </si>
  <si>
    <t>firesense mcp-k-r-ip67 red break glass, weather proof (ip67) - kac - marine grade</t>
  </si>
  <si>
    <t>MCP-K-R-IS-IP67</t>
  </si>
  <si>
    <t>Red Intrinsically Safe Call Point - KAC IP67 Red</t>
  </si>
  <si>
    <t>MCP-K-R-IS-IP67 — Red Intrinsically Safe Call Point - KAC IP67 Red (FireSense)</t>
  </si>
  <si>
    <t>firesense mcp-k-r-is-ip67 red intrinsically safe call point - kac ip67 red</t>
  </si>
  <si>
    <t>MCP-K-R-M</t>
  </si>
  <si>
    <t>Red break glass with surface mount box - KAC - 470R</t>
  </si>
  <si>
    <t>MCP-K-R-M — Red break glass with surface mount box - KAC - 470R (FireSense)</t>
  </si>
  <si>
    <t>firesense mcp-k-r-m red break glass with surface mount box - kac - 470r</t>
  </si>
  <si>
    <t>MCP-K-SF</t>
  </si>
  <si>
    <t>KAC Spare Flap to suit KAC Rounded Front Call Points</t>
  </si>
  <si>
    <t>MCP-K-SF — KAC Spare Flap to suit KAC Rounded Front Call Points (FireSense)</t>
  </si>
  <si>
    <t>firesense mcp-k-sf kac spare flap to suit kac rounded front call points</t>
  </si>
  <si>
    <t>MCP-K-SG-PK10</t>
  </si>
  <si>
    <t>Spare glass for KAC break glass - (Pack of 10)</t>
  </si>
  <si>
    <t>MCP-K-SG-PK10 — Spare glass for KAC break glass - (Pack of 10) (FireSense)</t>
  </si>
  <si>
    <t>firesense mcp-k-sg-pk10 spare glass for kac break glass - (pack of 10)</t>
  </si>
  <si>
    <t>MCP-K-W-IP67</t>
  </si>
  <si>
    <t>White break glass, weather proof (IP67) - KAC - Marine Grade</t>
  </si>
  <si>
    <t>MCP-K-W-IP67 — White break glass, weather proof (IP67) - KAC - Marine Grade (FireSense)</t>
  </si>
  <si>
    <t>firesense mcp-k-w-ip67 white break glass, weather proof (ip67) - kac - marine grade</t>
  </si>
  <si>
    <t>MCP-K-W-M</t>
  </si>
  <si>
    <t>White break glass with surface mount box - KAC - Clean Contact</t>
  </si>
  <si>
    <t>MCP-K-W-M — White break glass with surface mount box - KAC - Clean Contact (FireSense)</t>
  </si>
  <si>
    <t>firesense mcp-k-w-m white break glass with surface mount box - kac - clean contact</t>
  </si>
  <si>
    <t>MCP-K-Y-M</t>
  </si>
  <si>
    <t>Yellow break glass with flap and surface box</t>
  </si>
  <si>
    <t>MCP-K-Y-M — Yellow break glass with flap and surface box (FireSense)</t>
  </si>
  <si>
    <t>firesense mcp-k-y-m yellow break glass with flap and surface box</t>
  </si>
  <si>
    <t>MDH-ANV-C</t>
  </si>
  <si>
    <t>Spare anvil to suit CSA 50 Kgs door holders</t>
  </si>
  <si>
    <t>MDH-ANV-C — Spare anvil to suit CSA 50 Kgs door holders (FireSense)</t>
  </si>
  <si>
    <t>firesense mdh-anv-c spare anvil to suit csa 50 kgs door holders</t>
  </si>
  <si>
    <t>MDH1350</t>
  </si>
  <si>
    <t>25-50kg Door Holder - 30-65mA</t>
  </si>
  <si>
    <t>MDH1350 — 25-50kg Door Holder - 30-65mA (FireSense)</t>
  </si>
  <si>
    <t>firesense mdh1350 25-50kg door holder - 30-65ma</t>
  </si>
  <si>
    <t>MDH1360</t>
  </si>
  <si>
    <t>100kg Door Holder - Wall Mounted</t>
  </si>
  <si>
    <t>MDH1360 — 100kg Door Holder - Wall Mounted (FireSense)</t>
  </si>
  <si>
    <t>firesense mdh1360 100kg door holder - wall mounted</t>
  </si>
  <si>
    <t>MDH1369</t>
  </si>
  <si>
    <t>50kg - Floor mount  60mA</t>
  </si>
  <si>
    <t>MDH1369 — 50kg - Floor mount  60mA (FireSense)</t>
  </si>
  <si>
    <t>firesense mdh1369 50kg - floor mount  60ma</t>
  </si>
  <si>
    <t>MDH1370-15</t>
  </si>
  <si>
    <t>50kg - Floor/wall mount with 15cm ext 60mA</t>
  </si>
  <si>
    <t>MDH1370-15 — 50kg - Floor/wall mount with 15cm ext 60mA (FireSense)</t>
  </si>
  <si>
    <t>firesense mdh1370-15 50kg - floor/wall mount with 15cm ext 60ma</t>
  </si>
  <si>
    <t>MDH1370-30</t>
  </si>
  <si>
    <t>50kg - Floor/wall mount  with 30cm ext 60mA</t>
  </si>
  <si>
    <t>MDH1370-30 — 50kg - Floor/wall mount  with 30cm ext 60mA (FireSense)</t>
  </si>
  <si>
    <t>firesense mdh1370-30 50kg - floor/wall mount  with 30cm ext 60ma</t>
  </si>
  <si>
    <t>MDHREM</t>
  </si>
  <si>
    <t>Remote release plate for Door Holders - Vertical</t>
  </si>
  <si>
    <t>MDHREM — Remote release plate for Door Holders - Vertical (FireSense)</t>
  </si>
  <si>
    <t>firesense mdhrem remote release plate for door holders - vertical</t>
  </si>
  <si>
    <t>METER-IMPEDANCE</t>
  </si>
  <si>
    <t>Impedance meter Q2004 Calculates Speaker Load in Watts and Ohms</t>
  </si>
  <si>
    <t>METER-IMPEDANCE — Impedance meter Q2004 Calculates Speaker Load in Watts and Ohms (FireSense)</t>
  </si>
  <si>
    <t>firesense meter-impedance impedance meter q2004 calculates speaker load in watts and ohms</t>
  </si>
  <si>
    <t>METER-SPL</t>
  </si>
  <si>
    <t>SPL Meter, Q1264</t>
  </si>
  <si>
    <t>METER-SPL — SPL Meter, Q1264 (FireSense)</t>
  </si>
  <si>
    <t>firesense meter-spl spl meter, q1264</t>
  </si>
  <si>
    <t>MIC-HAND</t>
  </si>
  <si>
    <t>OWS Hand held Microphone to suit OWS with no Voice</t>
  </si>
  <si>
    <t>MIC-HAND — OWS Hand held Microphone to suit OWS with no Voice (FireSense)</t>
  </si>
  <si>
    <t>firesense mic-hand ows hand held microphone to suit ows with no voice</t>
  </si>
  <si>
    <t>NFS-BSO-IV</t>
  </si>
  <si>
    <t>Addressable base sounder : Sounder AS7240.3 Compliant : loop powered</t>
  </si>
  <si>
    <t>NFS-BSO-IV — Addressable base sounder : Sounder AS7240.3 Compliant : loop powered (FireSense)</t>
  </si>
  <si>
    <t>firesense nfs-bso-iv addressable base sounder : sounder as7240.3 compliant : loop powered</t>
  </si>
  <si>
    <t>NFS-BSO-W</t>
  </si>
  <si>
    <t>Addressable base sounder: White : Sounder AS7240.3 Compliant : loop powered</t>
  </si>
  <si>
    <t>NFS-BSO-W — Addressable base sounder: White : Sounder AS7240.3 Compliant : loop powered (FireSense)</t>
  </si>
  <si>
    <t>firesense nfs-bso-w addressable base sounder: white : sounder as7240.3 compliant : loop powered</t>
  </si>
  <si>
    <t>NFS-BSS-WHITE</t>
  </si>
  <si>
    <t>Addr base sounder-beacon :White: Sounder AS7240.3 Compliant : loop powered</t>
  </si>
  <si>
    <t>NFS-BSS-WHITE — Addr base sounder-beacon :White: Sounder AS7240.3 Compliant : loop powered (FireSense)</t>
  </si>
  <si>
    <t>firesense nfs-bss-white addr base sounder-beacon :white: sounder as7240.3 compliant : loop powered</t>
  </si>
  <si>
    <t>NFS-WSO</t>
  </si>
  <si>
    <t>Addressable wall mount sounder : Sounder AS7240.3 Compliant : loop powered</t>
  </si>
  <si>
    <t>NFS-WSO — Addressable wall mount sounder : Sounder AS7240.3 Compliant : loop powered (FireSense)</t>
  </si>
  <si>
    <t>firesense nfs-wso addressable wall mount sounder : sounder as7240.3 compliant : loop powered</t>
  </si>
  <si>
    <t>NFX-BASE-WHITE</t>
  </si>
  <si>
    <t>Base - B501AP - for NFX Series Sounders - (Pure White)</t>
  </si>
  <si>
    <t>NFX-BASE-WHITE — Base - B501AP - for NFX Series Sounders - (Pure White) (FireSense)</t>
  </si>
  <si>
    <t>firesense nfx-base-white base - b501ap - for nfx series sounders - (pure white)</t>
  </si>
  <si>
    <t>NFX-BASE-WPW</t>
  </si>
  <si>
    <t>Base Waterproof - WPW - (Pure White) for NFX Series Sounders</t>
  </si>
  <si>
    <t>NFX-BASE-WPW — Base Waterproof - WPW - (Pure White) for NFX Series Sounders (FireSense)</t>
  </si>
  <si>
    <t>firesense nfx-base-wpw base waterproof - wpw - (pure white) for nfx series sounders</t>
  </si>
  <si>
    <t>NFX-ISB</t>
  </si>
  <si>
    <t>NTF CLIP Pure Wh.Sound/Strobe red flash clear lens - w Isolator</t>
  </si>
  <si>
    <t>NFX-ISB — NTF CLIP Pure Wh.Sound/Strobe red flash clear lens - w Isolator (FireSense)</t>
  </si>
  <si>
    <t>firesense nfx-isb ntf clip pure wh.sound/strobe red flash clear lens - w isolator</t>
  </si>
  <si>
    <t>NFX-ISB-BASE</t>
  </si>
  <si>
    <t>NTF CLIP Pure White Sounder/Strobe Base red flash - clear lens - w Isolator</t>
  </si>
  <si>
    <t>NFX-ISB-BASE — NTF CLIP Pure White Sounder/Strobe Base red flash - clear lens - w Isolator (FireSense)</t>
  </si>
  <si>
    <t>firesense nfx-isb-base ntf clip pure white sounder/strobe base red flash - clear lens - w isolator</t>
  </si>
  <si>
    <t>NFX-LID-W</t>
  </si>
  <si>
    <t>Lid - IBS-LIDPW - (Pure White) for NFX Series Sounders (1Lid)</t>
  </si>
  <si>
    <t>NFX-LID-W — Lid - IBS-LIDPW - (Pure White) for NFX Series Sounders (1Lid) (FireSense)</t>
  </si>
  <si>
    <t>firesense nfx-lid-w lid - ibs-lidpw - (pure white) for nfx series sounders (1lid)</t>
  </si>
  <si>
    <t>NFX-LID-W-PK10</t>
  </si>
  <si>
    <t>Lid - IBS-LIDPW - (Pure White) for NFX Series Sounders (10 Pack)</t>
  </si>
  <si>
    <t>NFX-LID-W-PK10 — Lid - IBS-LIDPW - (Pure White) for NFX Series Sounders (10 Pack) (FireSense)</t>
  </si>
  <si>
    <t>firesense nfx-lid-w-pk10 lid - ibs-lidpw - (pure white) for nfx series sounders (10 pack)</t>
  </si>
  <si>
    <t>NFX-STR-BASE</t>
  </si>
  <si>
    <t>NFXI-BF-WCS - Loop Pwr Strobe - B501 base - white - red flash - clear lens</t>
  </si>
  <si>
    <t>NFX-STR-BASE — NFXI-BF-WCS - Loop Pwr Strobe - B501 base - white - red flash - clear lens (FireSense)</t>
  </si>
  <si>
    <t>firesense nfx-str-base nfxi-bf-wcs - loop pwr strobe - b501 base - white - red flash - clear lens</t>
  </si>
  <si>
    <t>NFX-STR-SOU-BASE</t>
  </si>
  <si>
    <t>NFXI-BSF-WCH - Loop Pwr Strobe/Sounder - B501 base - white - red flash - clear lens</t>
  </si>
  <si>
    <t>NFX-STR-SOU-BASE — NFXI-BSF-WCH - Loop Pwr Strobe/Sounder - B501 base - white - red flash - clear lens (FireSense)</t>
  </si>
  <si>
    <t>firesense nfx-str-sou-base nfxi-bsf-wch - loop pwr strobe/sounder - b501 base - white - red flash - clear lens</t>
  </si>
  <si>
    <t>NFX-STR-SOU-WALL</t>
  </si>
  <si>
    <t>WWA-PC-I02 - Loop Pwr Strobe/Sounder Wall Mount - white - white flash - clear lens</t>
  </si>
  <si>
    <t>NFX-STR-SOU-WALL — WWA-PC-I02 - Loop Pwr Strobe/Sounder Wall Mount - white - white flash - clear lens (FireSense)</t>
  </si>
  <si>
    <t>firesense nfx-str-sou-wall wwa-pc-i02 - loop pwr strobe/sounder wall mount - white - white flash - clear lens</t>
  </si>
  <si>
    <t>NFX-STR-WALL</t>
  </si>
  <si>
    <t>WWL-PC-I02 - Loop Pwr Strobe Wall Mount - white - white flash - clear lens</t>
  </si>
  <si>
    <t>NFX-STR-WALL — WWL-PC-I02 - Loop Pwr Strobe Wall Mount - white - white flash - clear lens (FireSense)</t>
  </si>
  <si>
    <t>firesense nfx-str-wall wwl-pc-i02 - loop pwr strobe wall mount - white - white flash - clear lens</t>
  </si>
  <si>
    <t>ONESHOT-SUPPORT</t>
  </si>
  <si>
    <t>Support brace for 100mm OneShot Speakers</t>
  </si>
  <si>
    <t>ONESHOT-SUPPORT — Support brace for 100mm OneShot Speakers (FireSense)</t>
  </si>
  <si>
    <t>firesense oneshot-support support brace for 100mm oneshot speakers</t>
  </si>
  <si>
    <t>RAPID-1M</t>
  </si>
  <si>
    <t>Rapid Bracket - 1m Kit (Assembly and Extendable to 1m Tube)</t>
  </si>
  <si>
    <t>RAPID-1M — Rapid Bracket - 1m Kit (Assembly and Extendable to 1m Tube) (FireSense)</t>
  </si>
  <si>
    <t>firesense rapid-1m rapid bracket - 1m kit (assembly and extendable to 1m tube)</t>
  </si>
  <si>
    <t>RAPID-3M</t>
  </si>
  <si>
    <t>Rapid Bracket - 3m Kit (Assembly and Extendable to 3m Tube)</t>
  </si>
  <si>
    <t>RAPID-3M — Rapid Bracket - 3m Kit (Assembly and Extendable to 3m Tube) (FireSense)</t>
  </si>
  <si>
    <t>firesense rapid-3m rapid bracket - 3m kit (assembly and extendable to 3m tube)</t>
  </si>
  <si>
    <t>RAPID-ARBOR</t>
  </si>
  <si>
    <t>Rapid Bracket - Arbor for Holesaw with 6mm pilot drill</t>
  </si>
  <si>
    <t>RAPID-ARBOR — Rapid Bracket - Arbor for Holesaw with 6mm pilot drill (FireSense)</t>
  </si>
  <si>
    <t>firesense rapid-arbor rapid bracket - arbor for holesaw with 6mm pilot drill</t>
  </si>
  <si>
    <t>RAPID-HOLESAW</t>
  </si>
  <si>
    <t>Rapid Bracket - 165mm Holesaw</t>
  </si>
  <si>
    <t>RAPID-HOLESAW — Rapid Bracket - 165mm Holesaw (FireSense)</t>
  </si>
  <si>
    <t>firesense rapid-holesaw rapid bracket - 165mm holesaw</t>
  </si>
  <si>
    <t>RB-SP100-7240-LP</t>
  </si>
  <si>
    <t>Redback C2160 100mm Ceiling Speaker with plastic grill Low Profile</t>
  </si>
  <si>
    <t>RB-SP100-7240-LP — Redback C2160 100mm Ceiling Speaker with plastic grill Low Profile (FireSense)</t>
  </si>
  <si>
    <t>firesense rb-sp100-7240-lp redback c2160 100mm ceiling speaker with plastic grill low profile</t>
  </si>
  <si>
    <t>RIP-FA-CON</t>
  </si>
  <si>
    <t>Remote Indicator - (FIRE ALARM - IN CONCEALED SPACE)</t>
  </si>
  <si>
    <t>RIP-FA-CON — Remote Indicator - (FIRE ALARM - IN CONCEALED SPACE) (FireSense)</t>
  </si>
  <si>
    <t>firesense rip-fa-con remote indicator - (fire alarm - in concealed space)</t>
  </si>
  <si>
    <t>ROSH-D</t>
  </si>
  <si>
    <t>Roshni Sounder - Red, Deep base (100dB) with Iso Tones</t>
  </si>
  <si>
    <t>ROSH-D — Roshni Sounder - Red, Deep base (100dB) with Iso Tones (FireSense)</t>
  </si>
  <si>
    <t>firesense rosh-d roshni sounder - red, deep base (100db) with iso tones</t>
  </si>
  <si>
    <t>ROSH-S</t>
  </si>
  <si>
    <t>Roshni Sounder - Red, Shallow base (100dB) with Iso Tones</t>
  </si>
  <si>
    <t>ROSH-S — Roshni Sounder - Red, Shallow base (100dB) with Iso Tones (FireSense)</t>
  </si>
  <si>
    <t>firesense rosh-s roshni sounder - red, shallow base (100db) with iso tones</t>
  </si>
  <si>
    <t>ROSH-S-WHITE</t>
  </si>
  <si>
    <t>Roshni Sounder - White, Shallow base (100dB) with Iso Tones</t>
  </si>
  <si>
    <t>ROSH-S-WHITE — Roshni Sounder - White, Shallow base (100dB) with Iso Tones (FireSense)</t>
  </si>
  <si>
    <t>firesense rosh-s-white roshni sounder - white, shallow base (100db) with iso tones</t>
  </si>
  <si>
    <t>SMOKE-A10S</t>
  </si>
  <si>
    <t>Can of test smoke 250ml to suit Solo Detector Tester (HFC Free)</t>
  </si>
  <si>
    <t>SMOKE-A10S — Can of test smoke 250ml to suit Solo Detector Tester (HFC Free) (FireSense)</t>
  </si>
  <si>
    <t>firesense smoke-a10s can of test smoke 250ml to suit solo detector tester (hfc free)</t>
  </si>
  <si>
    <t>SMOKE-BOMB-BVS</t>
  </si>
  <si>
    <t>Smoke bombs Brandax VS 4 minute, 60gm packet of 5</t>
  </si>
  <si>
    <t>SMOKE-BOMB-BVS — Smoke bombs Brandax VS 4 minute, 60gm packet of 5 (FireSense)</t>
  </si>
  <si>
    <t>firesense smoke-bomb-bvs smoke bombs brandax vs 4 minute, 60gm packet of 5</t>
  </si>
  <si>
    <t>SMOKE-BOMB-VENT</t>
  </si>
  <si>
    <t>Smoke bombs Ventilax 3 minute, 18gm packet of 5</t>
  </si>
  <si>
    <t>SMOKE-BOMB-VENT — Smoke bombs Ventilax 3 minute, 18gm packet of 5 (FireSense)</t>
  </si>
  <si>
    <t>firesense smoke-bomb-vent smoke bombs ventilax 3 minute, 18gm packet of 5</t>
  </si>
  <si>
    <t>SMOKE-PEN</t>
  </si>
  <si>
    <t>Smoke Pen - Includes 6 Refills</t>
  </si>
  <si>
    <t>SMOKE-PEN — Smoke Pen - Includes 6 Refills (FireSense)</t>
  </si>
  <si>
    <t>firesense smoke-pen smoke pen - includes 6 refills</t>
  </si>
  <si>
    <t>SMOKE-PEN-RF</t>
  </si>
  <si>
    <t>Smoke Pen Refill Pack - 6 Refills</t>
  </si>
  <si>
    <t>SMOKE-PEN-RF — Smoke Pen Refill Pack - 6 Refills (FireSense)</t>
  </si>
  <si>
    <t>firesense smoke-pen-rf smoke pen refill pack - 6 refills</t>
  </si>
  <si>
    <t>SMOKE-SABRE</t>
  </si>
  <si>
    <t>Can of test smoke 150 gram with Sabre plastic extension</t>
  </si>
  <si>
    <t>SMOKE-SABRE — Can of test smoke 150 gram with Sabre plastic extension (FireSense)</t>
  </si>
  <si>
    <t>firesense smoke-sabre can of test smoke 150 gram with sabre plastic extension</t>
  </si>
  <si>
    <t>SOLO770-001</t>
  </si>
  <si>
    <t>SOLO 770-001 Battery Baton</t>
  </si>
  <si>
    <t>SOLO770-001 — SOLO 770-001 Battery Baton (FireSense)</t>
  </si>
  <si>
    <t>firesense solo770-001 solo 770-001 battery baton</t>
  </si>
  <si>
    <t>SQUASHNI-H</t>
  </si>
  <si>
    <t>Squashni sounder base, (OFF WHITE)</t>
  </si>
  <si>
    <t>SQUASHNI-H — Squashni sounder base, (OFF WHITE) (FireSense)</t>
  </si>
  <si>
    <t>firesense squashni-h squashni sounder base, (off white)</t>
  </si>
  <si>
    <t>STI-3150</t>
  </si>
  <si>
    <t>STI-3150 Weatherproof (IP44) Enclosure for MCP or STOPGAS Station</t>
  </si>
  <si>
    <t>STI-3150 — STI-3150 Weatherproof (IP44) Enclosure for MCP or STOPGAS Station (FireSense)</t>
  </si>
  <si>
    <t>firesense sti-3150 sti-3150 weatherproof (ip44) enclosure for mcp or stopgas station</t>
  </si>
  <si>
    <t>STOPGAS</t>
  </si>
  <si>
    <t>Remote Release/Stop Gas Station</t>
  </si>
  <si>
    <t>STOPGAS — Remote Release/Stop Gas Station (FireSense)</t>
  </si>
  <si>
    <t>firesense stopgas remote release/stop gas station</t>
  </si>
  <si>
    <t>STR-DUAL</t>
  </si>
  <si>
    <t>Dual Strobe (Red and Amber) on white plate - 100mA each</t>
  </si>
  <si>
    <t>STR-DUAL — Dual Strobe (Red and Amber) on white plate - 100mA each (FireSense)</t>
  </si>
  <si>
    <t>firesense str-dual dual strobe (red and amber) on white plate - 100ma each</t>
  </si>
  <si>
    <t>STR-FULL-A</t>
  </si>
  <si>
    <t>Fulleon Amber Strobe - 90mA</t>
  </si>
  <si>
    <t>STR-FULL-A — Fulleon Amber Strobe - 90mA (FireSense)</t>
  </si>
  <si>
    <t>firesense str-full-a fulleon amber strobe - 90ma</t>
  </si>
  <si>
    <t>STR-FULL-B</t>
  </si>
  <si>
    <t>Fulleon Blue Strobe - 90mA</t>
  </si>
  <si>
    <t>STR-FULL-B — Fulleon Blue Strobe - 90mA (FireSense)</t>
  </si>
  <si>
    <t>firesense str-full-b fulleon blue strobe - 90ma</t>
  </si>
  <si>
    <t>STR-FULL-CLEAR</t>
  </si>
  <si>
    <t>Fulleon Clear Strobe - 90mA</t>
  </si>
  <si>
    <t>STR-FULL-CLEAR — Fulleon Clear Strobe - 90mA (FireSense)</t>
  </si>
  <si>
    <t>firesense str-full-clear fulleon clear strobe - 90ma</t>
  </si>
  <si>
    <t>STR-FULL-G</t>
  </si>
  <si>
    <t>Fulleon Green Strobe - 90mA</t>
  </si>
  <si>
    <t>STR-FULL-G — Fulleon Green Strobe - 90mA (FireSense)</t>
  </si>
  <si>
    <t>firesense str-full-g fulleon green strobe - 90ma</t>
  </si>
  <si>
    <t>STR-FULL-R</t>
  </si>
  <si>
    <t>Fulleon Red Strobe - 90mA</t>
  </si>
  <si>
    <t>STR-FULL-R — Fulleon Red Strobe - 90mA (FireSense)</t>
  </si>
  <si>
    <t>firesense str-full-r fulleon red strobe - 90ma</t>
  </si>
  <si>
    <t>STR-LABEL</t>
  </si>
  <si>
    <t>Strobe Label - White Metal Plate Screen Printed "FIRE"</t>
  </si>
  <si>
    <t>STR-LABEL — Strobe Label - White Metal Plate Screen Printed "FIRE" (FireSense)</t>
  </si>
  <si>
    <t>firesense str-label strobe label - white metal plate screen printed "fire"</t>
  </si>
  <si>
    <t>STR-SOL-C-WR</t>
  </si>
  <si>
    <t>Strobe : Solista LX Ceiling : White Body : Red Flash : Shallow Base</t>
  </si>
  <si>
    <t>STR-SOL-C-WR — Strobe : Solista LX Ceiling : White Body : Red Flash : Shallow Base (FireSense)</t>
  </si>
  <si>
    <t>firesense str-sol-c-wr strobe : solista lx ceiling : white body : red flash : shallow base</t>
  </si>
  <si>
    <t>STR-SOL-C-WW</t>
  </si>
  <si>
    <t>Strobe : Solista LX Ceiling : White Body : White Flash : Shallow Base</t>
  </si>
  <si>
    <t>STR-SOL-C-WW — Strobe : Solista LX Ceiling : White Body : White Flash : Shallow Base (FireSense)</t>
  </si>
  <si>
    <t>firesense str-sol-c-ww strobe : solista lx ceiling : white body : white flash : shallow base</t>
  </si>
  <si>
    <t>STR-SOL-W-RR</t>
  </si>
  <si>
    <t>Strobe : Solista LX Wall : Red Body : Red Flash -Shallow Base</t>
  </si>
  <si>
    <t>STR-SOL-W-RR — Strobe : Solista LX Wall : Red Body : Red Flash -Shallow Base (FireSense)</t>
  </si>
  <si>
    <t>firesense str-sol-w-rr strobe : solista lx wall : red body : red flash -shallow base</t>
  </si>
  <si>
    <t>STR-SOU-W-RW</t>
  </si>
  <si>
    <t>Strobe:Sounder : ROLP LX Wall : Red Body : White Flash</t>
  </si>
  <si>
    <t>STR-SOU-W-RW — Strobe:Sounder : ROLP LX Wall : Red Body : White Flash (FireSense)</t>
  </si>
  <si>
    <t>firesense str-sou-w-rw strobe:sounder : rolp lx wall : red body : white flash</t>
  </si>
  <si>
    <t>STR-SOU-W-WW</t>
  </si>
  <si>
    <t>Strobe:Sounder : ROLP LX Wall : White Body : White Flash</t>
  </si>
  <si>
    <t>STR-SOU-W-WW — Strobe:Sounder : ROLP LX Wall : White Body : White Flash (FireSense)</t>
  </si>
  <si>
    <t>firesense str-sou-w-ww strobe:sounder : rolp lx wall : white body : white flash</t>
  </si>
  <si>
    <t>TESTIFIRE-101</t>
  </si>
  <si>
    <t>Testifire 101 - 1m Reach Extension Pole</t>
  </si>
  <si>
    <t>TESTIFIRE-101 — Testifire 101 - 1m Reach Extension Pole (FireSense)</t>
  </si>
  <si>
    <t>firesense testifire-101 testifire 101 - 1m reach extension pole</t>
  </si>
  <si>
    <t>TESTIFIRE-6001</t>
  </si>
  <si>
    <t>Smoke &amp; Heat Detector Test Kit, 6m Pole, Carry Bag</t>
  </si>
  <si>
    <t>TESTIFIRE-6001 — Smoke &amp; Heat Detector Test Kit, 6m Pole, Carry Bag (FireSense)</t>
  </si>
  <si>
    <t>firesense testifire-6001 smoke &amp; heat detector test kit, 6m pole, carry bag</t>
  </si>
  <si>
    <t>TESTIFIRE-TC3</t>
  </si>
  <si>
    <t>Testifire TC3 - CO Capsules 6 Pack</t>
  </si>
  <si>
    <t>TESTIFIRE-TC3 — Testifire TC3 - CO Capsules 6 Pack (FireSense)</t>
  </si>
  <si>
    <t>firesense testifire-tc3 testifire tc3 - co capsules 6 pack</t>
  </si>
  <si>
    <t>TESTIFIRE-TS3</t>
  </si>
  <si>
    <t>Testifire TS3 - Smoke Capsules 6 Pack</t>
  </si>
  <si>
    <t>TESTIFIRE-TS3 — Testifire TS3 - Smoke Capsules 6 Pack (FireSense)</t>
  </si>
  <si>
    <t>firesense testifire-ts3 testifire ts3 - smoke capsules 6 pack</t>
  </si>
  <si>
    <t>TRUTEST-SMOKE</t>
  </si>
  <si>
    <t>Aero 400 Smoke can for Trutest Detector Tester - 250ml</t>
  </si>
  <si>
    <t>TRUTEST-SMOKE — Aero 400 Smoke can for Trutest Detector Tester - 250ml (FireSense)</t>
  </si>
  <si>
    <t>firesense trutest-smoke aero 400 smoke can for trutest detector tester - 250ml</t>
  </si>
  <si>
    <t>USB-SERIAL-ADP</t>
  </si>
  <si>
    <t>USB to Serial adaptor (US232R-100 works with XP Vista Win 7 and 10)</t>
  </si>
  <si>
    <t>USB-SERIAL-ADP — USB to Serial adaptor (US232R-100 works with XP Vista Win 7 and 10) (FireSense)</t>
  </si>
  <si>
    <t>firesense usb-serial-adp usb to serial adaptor (us232r-100 works with xp vista win 7 and 10)</t>
  </si>
  <si>
    <t>WARN-S</t>
  </si>
  <si>
    <t>Warning signs - LED - (without face plate)</t>
  </si>
  <si>
    <t>WARN-S — Warning signs - LED - (without face plate) (FireSense)</t>
  </si>
  <si>
    <t>firesense warn-s warning signs - led - (without face plate)</t>
  </si>
  <si>
    <t>WARN-SYS</t>
  </si>
  <si>
    <t>Warning Sign  - Extinguishing System Inoperative - Complete</t>
  </si>
  <si>
    <t>WARN-SYS — Warning Sign  - Extinguishing System Inoperative - Complete (FireSense)</t>
  </si>
  <si>
    <t>firesense warn-sys warning sign  - extinguishing system inoperative - complete</t>
  </si>
  <si>
    <t>WARN-SYS-WP</t>
  </si>
  <si>
    <t>Weatherproof  Warning Sign  - Extinguishing System Inoperative - Complete</t>
  </si>
  <si>
    <t>WARN-SYS-WP — Weatherproof  Warning Sign  - Extinguishing System Inoperative - Complete (FireSense)</t>
  </si>
  <si>
    <t>firesense warn-sys-wp weatherproof  warning sign  - extinguishing system inoperative - complete</t>
  </si>
  <si>
    <t>WARN-WP</t>
  </si>
  <si>
    <t>Warning Signs - LED - Weather proof (without face plate)</t>
  </si>
  <si>
    <t>WARN-WP — Warning Signs - LED - Weather proof (without face plate) (FireSense)</t>
  </si>
  <si>
    <t>firesense warn-wp warning signs - led - weather proof (without face plate)</t>
  </si>
  <si>
    <t>WIP-BOX</t>
  </si>
  <si>
    <t>Surface mounted enclosure for WIP (Red)</t>
  </si>
  <si>
    <t>WIP-BOX — Surface mounted enclosure for WIP (Red) (FireSense)</t>
  </si>
  <si>
    <t>firesense wip-box surface mounted enclosure for wip (red)</t>
  </si>
  <si>
    <t>WIP-T</t>
  </si>
  <si>
    <t>Warden phone (WIP) to suit EWIS panel</t>
  </si>
  <si>
    <t>WIP-T — Warden phone (WIP) to suit EWIS panel (FireSense)</t>
  </si>
  <si>
    <t>firesense wip-t warden phone (wip) to suit ewis panel</t>
  </si>
  <si>
    <t>WS-CUST</t>
  </si>
  <si>
    <t>Warning Sign Face Plate "CUSTOM FACE PLATE"</t>
  </si>
  <si>
    <t>WS-CUST — Warning Sign Face Plate "CUSTOM FACE PLATE" (FireSense)</t>
  </si>
  <si>
    <t>firesense ws-cust warning sign face plate "custom face plate"</t>
  </si>
  <si>
    <t>WS-CUST-WP</t>
  </si>
  <si>
    <t>W/Proof Warning Sign Face Plate "CUSTOM FACE PLATE"</t>
  </si>
  <si>
    <t>WS-CUST-WP — W/Proof Warning Sign Face Plate "CUSTOM FACE PLATE" (FireSense)</t>
  </si>
  <si>
    <t>firesense ws-cust-wp w/proof warning sign face plate "custom face plate"</t>
  </si>
  <si>
    <t>WS-DNE-GD</t>
  </si>
  <si>
    <t>Warning Sign Face Plate "DO NOT ENTER, GAS DISCHARGED"</t>
  </si>
  <si>
    <t>WS-DNE-GD — Warning Sign Face Plate "DO NOT ENTER, GAS DISCHARGED" (FireSense)</t>
  </si>
  <si>
    <t>firesense ws-dne-gd warning sign face plate "do not enter, gas discharged"</t>
  </si>
  <si>
    <t>WS-DNE-GD-WP</t>
  </si>
  <si>
    <t>W/Proof W/Sign Face Plate "DO NOT ENTER, GAS DISCHARGED"</t>
  </si>
  <si>
    <t>WS-DNE-GD-WP — W/Proof W/Sign Face Plate "DO NOT ENTER, GAS DISCHARGED" (FireSense)</t>
  </si>
  <si>
    <t>firesense ws-dne-gd-wp w/proof w/sign face plate "do not enter, gas discharged"</t>
  </si>
  <si>
    <t>WS-FA-DNE</t>
  </si>
  <si>
    <t>Warning Sign Face Plate "FIRE ALARM, DO NOT ENTER"</t>
  </si>
  <si>
    <t>WS-FA-DNE — Warning Sign Face Plate "FIRE ALARM, DO NOT ENTER" (FireSense)</t>
  </si>
  <si>
    <t>firesense ws-fa-dne warning sign face plate "fire alarm, do not enter"</t>
  </si>
  <si>
    <t>WS-FA-DNE-WP</t>
  </si>
  <si>
    <t>W/Proof Warning Sign Face Plate "FIRE ALARM DO NOT ENTER"</t>
  </si>
  <si>
    <t>WS-FA-DNE-WP — W/Proof Warning Sign Face Plate "FIRE ALARM DO NOT ENTER" (FireSense)</t>
  </si>
  <si>
    <t>firesense ws-fa-dne-wp w/proof warning sign face plate "fire alarm do not enter"</t>
  </si>
  <si>
    <t>WS-FA-EA</t>
  </si>
  <si>
    <t>Warning Sign Face Plate "FIRE ALARM, EVACUATE AREA"</t>
  </si>
  <si>
    <t>WS-FA-EA — Warning Sign Face Plate "FIRE ALARM, EVACUATE AREA" (FireSense)</t>
  </si>
  <si>
    <t>firesense ws-fa-ea warning sign face plate "fire alarm, evacuate area"</t>
  </si>
  <si>
    <t>WS-FA-EA-WP</t>
  </si>
  <si>
    <t>W/Proof Warning Sign Face Plate "FIRE ALARM EVACUATE AREA"</t>
  </si>
  <si>
    <t>WS-FA-EA-WP — W/Proof Warning Sign Face Plate "FIRE ALARM EVACUATE AREA" (FireSense)</t>
  </si>
  <si>
    <t>firesense ws-fa-ea-wp w/proof warning sign face plate "fire alarm evacuate area"</t>
  </si>
  <si>
    <t>WS-FDC</t>
  </si>
  <si>
    <t>Warning Sign Face Plate "FIRE DOOR CLOSING"</t>
  </si>
  <si>
    <t>WS-FDC — Warning Sign Face Plate "FIRE DOOR CLOSING" (FireSense)</t>
  </si>
  <si>
    <t>firesense ws-fdc warning sign face plate "fire door closing"</t>
  </si>
  <si>
    <t>FRC-STR1</t>
  </si>
  <si>
    <t>Fire Cable Stripping Tool - FR DET (30150)</t>
  </si>
  <si>
    <t>FRC-STR1 — Fire Cable Stripping Tool - FR DET (30150) (FireSense)</t>
  </si>
  <si>
    <t>firesense frc-str1 fire cable stripping tool - fr det (30150)</t>
  </si>
  <si>
    <t>FRC-STR2</t>
  </si>
  <si>
    <t>Fire Cable Stripping Tool - FR PWR (30400)</t>
  </si>
  <si>
    <t>FRC-STR2 — Fire Cable Stripping Tool - FR PWR (30400) (FireSense)</t>
  </si>
  <si>
    <t>firesense frc-str2 fire cable stripping tool - fr pwr (30400)</t>
  </si>
  <si>
    <t>SST-200</t>
  </si>
  <si>
    <t>304 Stainless Steel Cable Ties - 200mm long - Pack of 100</t>
  </si>
  <si>
    <t>SST-200 — 304 Stainless Steel Cable Ties - 200mm long - Pack of 100 (FireSense)</t>
  </si>
  <si>
    <t>firesense sst-200 304 stainless steel cable ties - 200mm long - pack of 100</t>
  </si>
  <si>
    <t>SST-360</t>
  </si>
  <si>
    <t>304 Stainless Steel Cable Ties - 360mm long - Pack of 100</t>
  </si>
  <si>
    <t>SST-360 — 304 Stainless Steel Cable Ties - 360mm long - Pack of 100 (FireSense)</t>
  </si>
  <si>
    <t>firesense sst-360 304 stainless steel cable ties - 360mm long - pack of 100</t>
  </si>
  <si>
    <t>SST-GUN</t>
  </si>
  <si>
    <t>Stainless Steel Cable Tie Gun with Adjustable Tensioner</t>
  </si>
  <si>
    <t>SST-GUN — Stainless Steel Cable Tie Gun with Adjustable Tensioner (FireSense)</t>
  </si>
  <si>
    <t>firesense sst-gun stainless steel cable tie gun with adjustable tensioner</t>
  </si>
  <si>
    <t>HOC-A</t>
  </si>
  <si>
    <t>Hochiki Conventional Type A thermal - DCD-A</t>
  </si>
  <si>
    <t>HOC-A — Hochiki Conventional Type A thermal - DCD-A (FireSense)</t>
  </si>
  <si>
    <t>firesense hoc-a hochiki conventional type a thermal - dcd-a</t>
  </si>
  <si>
    <t>HOC-B</t>
  </si>
  <si>
    <t>Hochiki Conventional Type B thermal - DFJ-60B</t>
  </si>
  <si>
    <t>HOC-B — Hochiki Conventional Type B thermal - DFJ-60B (FireSense)</t>
  </si>
  <si>
    <t>firesense hoc-b hochiki conventional type b thermal - dfj-60b</t>
  </si>
  <si>
    <t>HOC-BASE</t>
  </si>
  <si>
    <t>Hochiki Base For Conventional Detectors</t>
  </si>
  <si>
    <t>HOC-BASE — Hochiki Base For Conventional Detectors (FireSense)</t>
  </si>
  <si>
    <t>firesense hoc-base hochiki base for conventional detectors</t>
  </si>
  <si>
    <t>HOC-BS</t>
  </si>
  <si>
    <t>Hochiki Type B Sealed Thermal DFG-60BLKJ (no base required)</t>
  </si>
  <si>
    <t>HOC-BS — Hochiki Type B Sealed Thermal DFG-60BLKJ (no base required) (FireSense)</t>
  </si>
  <si>
    <t>firesense hoc-bs hochiki type b sealed thermal dfg-60blkj (no base required)</t>
  </si>
  <si>
    <t>HOC-C</t>
  </si>
  <si>
    <t>Hochiki Conventional thermal Type C</t>
  </si>
  <si>
    <t>HOC-C — Hochiki Conventional thermal Type C (FireSense)</t>
  </si>
  <si>
    <t>firesense hoc-c hochiki conventional thermal type c</t>
  </si>
  <si>
    <t>HOC-D</t>
  </si>
  <si>
    <t>Hochiki Conventional Type D thermal DFJ-90D</t>
  </si>
  <si>
    <t>HOC-D — Hochiki Conventional Type D thermal DFJ-90D (FireSense)</t>
  </si>
  <si>
    <t>firesense hoc-d hochiki conventional type d thermal dfj-90d</t>
  </si>
  <si>
    <t>HOC-IS-BASE</t>
  </si>
  <si>
    <t>Hochiki YBN-R-4IS - Intrinsically Safe Base</t>
  </si>
  <si>
    <t>HOC-IS-BASE — Hochiki YBN-R-4IS - Intrinsically Safe Base (FireSense)</t>
  </si>
  <si>
    <t>firesense hoc-is-base hochiki ybn-r-4is - intrinsically safe base</t>
  </si>
  <si>
    <t>HOC-IS-P</t>
  </si>
  <si>
    <t>Hochiki SLR-E-IS - Intrinsically Safe Photo Optical Conv Detector</t>
  </si>
  <si>
    <t>HOC-IS-P — Hochiki SLR-E-IS - Intrinsically Safe Photo Optical Conv Detector (FireSense)</t>
  </si>
  <si>
    <t>firesense hoc-is-p hochiki slr-e-is - intrinsically safe photo optical conv detector</t>
  </si>
  <si>
    <t>HOC-IS-T</t>
  </si>
  <si>
    <t>Hochiki DCD-1E-IS(WHT) - Intrinsically Safe Thermal Conv Detector</t>
  </si>
  <si>
    <t>HOC-IS-T — Hochiki DCD-1E-IS(WHT) - Intrinsically Safe Thermal Conv Detector (FireSense)</t>
  </si>
  <si>
    <t>firesense hoc-is-t hochiki dcd-1e-is(wht) - intrinsically safe thermal conv detector</t>
  </si>
  <si>
    <t>HOC-P</t>
  </si>
  <si>
    <t>Hochiki Conventional Photo Optical Smoke SLV-AS</t>
  </si>
  <si>
    <t>HOC-P — Hochiki Conventional Photo Optical Smoke SLV-AS (FireSense)</t>
  </si>
  <si>
    <t>firesense hoc-p hochiki conventional photo optical smoke slv-as</t>
  </si>
  <si>
    <t>INT-AM</t>
  </si>
  <si>
    <t>Adjustable Mount (required for all Flame Detectors)</t>
  </si>
  <si>
    <t>INT-AM — Adjustable Mount (required for all Flame Detectors) (FireSense)</t>
  </si>
  <si>
    <t>firesense int-am adjustable mount (required for all flame detectors)</t>
  </si>
  <si>
    <t>INT-IR3</t>
  </si>
  <si>
    <t>IR3 Flame Det - Alloy housing</t>
  </si>
  <si>
    <t>INT-IR3 — IR3 Flame Det - Alloy housing (FireSense)</t>
  </si>
  <si>
    <t>firesense int-ir3 ir3 flame det - alloy housing</t>
  </si>
  <si>
    <t>LHD-LOCPLUS-CON</t>
  </si>
  <si>
    <t>LHD - Locator Plus Alarm Location and Interface Controller</t>
  </si>
  <si>
    <t>LHD-LOCPLUS-CON — LHD - Locator Plus Alarm Location and Interface Controller (FireSense)</t>
  </si>
  <si>
    <t>firesense lhd-locplus-con lhd - locator plus alarm location and interface controller</t>
  </si>
  <si>
    <t>LHD-LOCPLUS-EOL</t>
  </si>
  <si>
    <t>LHD - Locator Plus End Of Line Unit</t>
  </si>
  <si>
    <t>LHD-LOCPLUS-EOL — LHD - Locator Plus End Of Line Unit (FireSense)</t>
  </si>
  <si>
    <t>firesense lhd-locplus-eol lhd - locator plus end of line unit</t>
  </si>
  <si>
    <t>OLS-E-100</t>
  </si>
  <si>
    <t>E-Type 100 Degree C Heat Detector Probe</t>
  </si>
  <si>
    <t>OLS-E-100 — E-Type 100 Degree C Heat Detector Probe (FireSense)</t>
  </si>
  <si>
    <t>firesense ols-e-100 e-type 100 degree c heat detector probe</t>
  </si>
  <si>
    <t>OLS-E-130</t>
  </si>
  <si>
    <t>E-Type 130 Degree C Heat Detector Probe</t>
  </si>
  <si>
    <t>OLS-E-130 — E-Type 130 Degree C Heat Detector Probe (FireSense)</t>
  </si>
  <si>
    <t>firesense ols-e-130 e-type 130 degree c heat detector probe</t>
  </si>
  <si>
    <t>OLS-E-60</t>
  </si>
  <si>
    <t>E-Type 60 Degree C Heat Detector Probe</t>
  </si>
  <si>
    <t>OLS-E-60 — E-Type 60 Degree C Heat Detector Probe (FireSense)</t>
  </si>
  <si>
    <t>firesense ols-e-60 e-type 60 degree c heat detector probe</t>
  </si>
  <si>
    <t>OSE-HPW - Emitter - High power, wired at 24VDC</t>
  </si>
  <si>
    <t>OSE-HPW — OSE-HPW - Emitter - High power, wired at 24VDC (FireSense)</t>
  </si>
  <si>
    <t>firesense ose-hpw ose-hpw - emitter - high power, wired at 24vdc</t>
  </si>
  <si>
    <t>OSE-INST</t>
  </si>
  <si>
    <t>OSID-INST - OSID Installation Kit</t>
  </si>
  <si>
    <t>OSE-INST — OSID-INST - OSID Installation Kit (FireSense)</t>
  </si>
  <si>
    <t>firesense ose-inst osid-inst - osid installation kit</t>
  </si>
  <si>
    <t>OSE-SP</t>
  </si>
  <si>
    <t>OSE-SP - Emitter - Standard power, battery version</t>
  </si>
  <si>
    <t>OSE-SP — OSE-SP - Emitter - Standard power, battery version (FireSense)</t>
  </si>
  <si>
    <t>firesense ose-sp ose-sp - emitter - standard power, battery version</t>
  </si>
  <si>
    <t>OSE-SPW - Emitter - Standard power, wired at 24VDC</t>
  </si>
  <si>
    <t>OSE-SPW — OSE-SPW - Emitter - Standard power, wired at 24VDC (FireSense)</t>
  </si>
  <si>
    <t>firesense ose-spw ose-spw - emitter - standard power, wired at 24vdc</t>
  </si>
  <si>
    <t>OSI-10 - Imager - 7 degree coverage, 24VDC</t>
  </si>
  <si>
    <t>OSI-10 — OSI-10 - Imager - 7 degree coverage, 24VDC (FireSense)</t>
  </si>
  <si>
    <t>firesense osi-10 osi-10 - imager - 7 degree coverage, 24vdc</t>
  </si>
  <si>
    <t>OSI-90 - Imager - 80 degree coverage, 24VDC</t>
  </si>
  <si>
    <t>OSI-90 — OSI-90 - Imager - 80 degree coverage, 24VDC (FireSense)</t>
  </si>
  <si>
    <t>firesense osi-90 osi-90 - imager - 80 degree coverage, 24vdc</t>
  </si>
  <si>
    <t>SS-2012-24</t>
  </si>
  <si>
    <t>2012/24AUSI 9-24v Photoelectric Smoke Alarm Temp-3 Sounder</t>
  </si>
  <si>
    <t>SS-2012-24 — 2012/24AUSI 9-24v Photoelectric Smoke Alarm Temp-3 Sounder (FireSense)</t>
  </si>
  <si>
    <t>firesense ss-2012-24 2012/24ausi 9-24v photoelectric smoke alarm temp-3 sounder</t>
  </si>
  <si>
    <t>SS-A</t>
  </si>
  <si>
    <t>S.Sensor - 5151RAUS - Conv Thermal - Rate Of Rise 63 Deg.</t>
  </si>
  <si>
    <t>SS-A — S.Sensor - 5151RAUS - Conv Thermal - Rate Of Rise 63 Deg. (FireSense)</t>
  </si>
  <si>
    <t>firesense ss-a s.sensor - 5151raus - conv thermal - rate of rise 63 deg.</t>
  </si>
  <si>
    <t>SS-B</t>
  </si>
  <si>
    <t>S.Sensor - 5151AUS - Conv Thermal - Fixed temp 63 Deg.</t>
  </si>
  <si>
    <t>SS-B — S.Sensor - 5151AUS - Conv Thermal - Fixed temp 63 Deg. (FireSense)</t>
  </si>
  <si>
    <t>firesense ss-b s.sensor - 5151aus - conv thermal - fixed temp 63 deg.</t>
  </si>
  <si>
    <t>SS-BASE</t>
  </si>
  <si>
    <t>Base for S.Sensor conventional detectors (B401)</t>
  </si>
  <si>
    <t>SS-BASE — Base for S.Sensor conventional detectors (B401) (FireSense)</t>
  </si>
  <si>
    <t>firesense ss-base base for s.sensor conventional detectors (b401)</t>
  </si>
  <si>
    <t>SS-BS</t>
  </si>
  <si>
    <t>885-WP - Type B Sealed</t>
  </si>
  <si>
    <t>SS-BS — 885-WP - Type B Sealed (FireSense)</t>
  </si>
  <si>
    <t>firesense ss-bs 885-wp - type b sealed</t>
  </si>
  <si>
    <t>SS-C</t>
  </si>
  <si>
    <t>S.Sensor - 5151RHAUS - Conv Thermal - Rate of rise 90 Deg.</t>
  </si>
  <si>
    <t>SS-C — S.Sensor - 5151RHAUS - Conv Thermal - Rate of rise 90 Deg. (FireSense)</t>
  </si>
  <si>
    <t>firesense ss-c s.sensor - 5151rhaus - conv thermal - rate of rise 90 deg.</t>
  </si>
  <si>
    <t>SS-D</t>
  </si>
  <si>
    <t>S.Sensor - 5151HAUS - Conv Thermal -Fixed temp 90 Deg.</t>
  </si>
  <si>
    <t>SS-D — S.Sensor - 5151HAUS - Conv Thermal -Fixed temp 90 Deg. (FireSense)</t>
  </si>
  <si>
    <t>firesense ss-d s.sensor - 5151haus - conv thermal -fixed temp 90 deg.</t>
  </si>
  <si>
    <t>SS-DST10</t>
  </si>
  <si>
    <t>Sampling tube for duct probes - 2.4m - 3.7m  ducts</t>
  </si>
  <si>
    <t>SS-DST10 — Sampling tube for duct probes - 2.4m - 3.7m  ducts (FireSense)</t>
  </si>
  <si>
    <t>firesense ss-dst10 sampling tube for duct probes - 2.4m - 3.7m  ducts</t>
  </si>
  <si>
    <t>SS-DST3</t>
  </si>
  <si>
    <t>Sampling tube for duct probes - 0.5m - 1.2m  ducts</t>
  </si>
  <si>
    <t>SS-DST3 — Sampling tube for duct probes - 0.5m - 1.2m  ducts (FireSense)</t>
  </si>
  <si>
    <t>firesense ss-dst3 sampling tube for duct probes - 0.5m - 1.2m  ducts</t>
  </si>
  <si>
    <t>SS-DST5</t>
  </si>
  <si>
    <t>Sampling tube for duct probes - 1.2m - 2.4m  ducts</t>
  </si>
  <si>
    <t>SS-DST5 — Sampling tube for duct probes - 1.2m - 2.4m  ducts (FireSense)</t>
  </si>
  <si>
    <t>firesense ss-dst5 sampling tube for duct probes - 1.2m - 2.4m  ducts</t>
  </si>
  <si>
    <t>SS-FZM1</t>
  </si>
  <si>
    <t>FLASHSCAN/CLIP  Conventional  Zone  Module (FZM-1)</t>
  </si>
  <si>
    <t>SS-FZM1 — FLASHSCAN/CLIP  Conventional  Zone  Module (FZM-1) (FireSense)</t>
  </si>
  <si>
    <t>firesense ss-fzm1 flashscan/clip  conventional  zone  module (fzm-1)</t>
  </si>
  <si>
    <t>SS-ISOX</t>
  </si>
  <si>
    <t>FLASHSCAN/CLIP  Isolator Module (ISO-X )</t>
  </si>
  <si>
    <t>SS-ISOX — FLASHSCAN/CLIP  Isolator Module (ISO-X ) (FireSense)</t>
  </si>
  <si>
    <t>firesense ss-isox flashscan/clip  isolator module (iso-x )</t>
  </si>
  <si>
    <t>SS-M200-DIN</t>
  </si>
  <si>
    <t>Din Rail Mounting Clip to Suit FDMR-1</t>
  </si>
  <si>
    <t>SS-M200-DIN — Din Rail Mounting Clip to Suit FDMR-1 (FireSense)</t>
  </si>
  <si>
    <t>firesense ss-m200-din din rail mounting clip to suit fdmr-1</t>
  </si>
  <si>
    <t>SS-M200-PMB</t>
  </si>
  <si>
    <t>Panel Mounting Clip to Suit FDMR-1</t>
  </si>
  <si>
    <t>SS-M200-PMB — Panel Mounting Clip to Suit FDMR-1 (FireSense)</t>
  </si>
  <si>
    <t>firesense ss-m200-pmb panel mounting clip to suit fdmr-1</t>
  </si>
  <si>
    <t>SS-M200-SMB</t>
  </si>
  <si>
    <t>Surface Mount Box to Suit FDMR-1</t>
  </si>
  <si>
    <t>SS-M200-SMB — Surface Mount Box to Suit FDMR-1 (FireSense)</t>
  </si>
  <si>
    <t>firesense ss-m200-smb surface mount box to suit fdmr-1</t>
  </si>
  <si>
    <t>SS-M500</t>
  </si>
  <si>
    <t>FLASHSCAN/CLIP Addressable Break Glass Unit (M500)</t>
  </si>
  <si>
    <t>SS-M500 — FLASHSCAN/CLIP Addressable Break Glass Unit (M500) (FireSense)</t>
  </si>
  <si>
    <t>firesense ss-m500 flashscan/clip addressable break glass unit (m500)</t>
  </si>
  <si>
    <t>SS-M500-W-IP67</t>
  </si>
  <si>
    <t>CLIP Addressable Break Glass Unit IP67 (KAC-WCP-5A-RSG)</t>
  </si>
  <si>
    <t>SS-M500-W-IP67 — CLIP Addressable Break Glass Unit IP67 (KAC-WCP-5A-RSG) (FireSense)</t>
  </si>
  <si>
    <t>firesense ss-m500-w-ip67 clip addressable break glass unit ip67 (kac-wcp-5a-rsg)</t>
  </si>
  <si>
    <t>SS-M700XE</t>
  </si>
  <si>
    <t>FLASHSCAN/CLIP  Isolator Module (M-700XE)</t>
  </si>
  <si>
    <t>SS-M700XE — FLASHSCAN/CLIP  Isolator Module (M-700XE) (FireSense)</t>
  </si>
  <si>
    <t>firesense ss-m700xe flashscan/clip  isolator module (m-700xe)</t>
  </si>
  <si>
    <t>SS-P</t>
  </si>
  <si>
    <t>S.Sensor  - Photo Optical Smoke 7% Obs/M (2151)</t>
  </si>
  <si>
    <t>SS-P — S.Sensor  - Photo Optical Smoke 7% Obs/M (2151) (FireSense)</t>
  </si>
  <si>
    <t>firesense ss-p s.sensor  - photo optical smoke 7% obs/m (2151)</t>
  </si>
  <si>
    <t>SS-PROBE-D2</t>
  </si>
  <si>
    <t>SS-PROBE-D2-AUS Conventional 2 Wire Duct Probe with Detector</t>
  </si>
  <si>
    <t>SS-PROBE-D2 — SS-PROBE-D2-AUS Conventional 2 Wire Duct Probe with Detector (FireSense)</t>
  </si>
  <si>
    <t>firesense ss-probe-d2 ss-probe-d2-aus conventional 2 wire duct probe with detector</t>
  </si>
  <si>
    <t>SS-PROBE-D4120</t>
  </si>
  <si>
    <t>SS-PROBE-D4120 Standalone 4 Wire Duct Probe with Detector</t>
  </si>
  <si>
    <t>SS-PROBE-D4120 — SS-PROBE-D4120 Standalone 4 Wire Duct Probe with Detector (FireSense)</t>
  </si>
  <si>
    <t>firesense ss-probe-d4120 ss-probe-d4120 standalone 4 wire duct probe with detector</t>
  </si>
  <si>
    <t>SS-PROBE-D4120W</t>
  </si>
  <si>
    <t>SS-PROBE-D4120 Standalone 4 Wire Duct Probe with Detector - IP66</t>
  </si>
  <si>
    <t>SS-PROBE-D4120W — SS-PROBE-D4120 Standalone 4 Wire Duct Probe with Detector - IP66 (FireSense)</t>
  </si>
  <si>
    <t>firesense ss-probe-d4120w ss-probe-d4120 standalone 4 wire duct probe with detector - ip66</t>
  </si>
  <si>
    <t>SS-SMB500</t>
  </si>
  <si>
    <t>Plastic Mounting box for FLASHSCAN/CLIP modules (SMB500)</t>
  </si>
  <si>
    <t>SS-SMB500 — Plastic Mounting box for FLASHSCAN/CLIP modules (SMB500) (FireSense)</t>
  </si>
  <si>
    <t>firesense ss-smb500 plastic mounting box for flashscan/clip modules (smb500)</t>
  </si>
  <si>
    <t>SS-WB1</t>
  </si>
  <si>
    <t>WB1 - Wet Base Shroud to Suit B401 &amp; B501 Base</t>
  </si>
  <si>
    <t>SS-WB1 — WB1 - Wet Base Shroud to Suit B401 &amp; B501 Base (FireSense)</t>
  </si>
  <si>
    <t>firesense ss-wb1 wb1 - wet base shroud to suit b401 &amp; b501 base</t>
  </si>
  <si>
    <t>SS-XP10M</t>
  </si>
  <si>
    <t>FLASHSCAN/CLIP 10 way Monitored Input Module (XP10M)</t>
  </si>
  <si>
    <t>SS-XP10M — FLASHSCAN/CLIP 10 way Monitored Input Module (XP10M) (FireSense)</t>
  </si>
  <si>
    <t>firesense ss-xp10m flashscan/clip 10 way monitored input module (xp10m)</t>
  </si>
  <si>
    <t>SS-XP6C</t>
  </si>
  <si>
    <t>FLASHSCAN/CLIP 6 way Output Module (XP6C)</t>
  </si>
  <si>
    <t>SS-XP6C — FLASHSCAN/CLIP 6 way Output Module (XP6C) (FireSense)</t>
  </si>
  <si>
    <t>firesense ss-xp6c flashscan/clip 6 way output module (xp6c)</t>
  </si>
  <si>
    <t>SS-XP6MA</t>
  </si>
  <si>
    <t>FLASHSCAN/CLIP 6 Conventional Zone Interface Module (XP6MA)</t>
  </si>
  <si>
    <t>SS-XP6MA — FLASHSCAN/CLIP 6 Conventional Zone Interface Module (XP6MA) (FireSense)</t>
  </si>
  <si>
    <t>firesense ss-xp6ma flashscan/clip 6 conventional zone interface module (xp6ma)</t>
  </si>
  <si>
    <t>SS-XP6R</t>
  </si>
  <si>
    <t>FLASHSCAN/CLIP 6 way Relay Module (XP6R)</t>
  </si>
  <si>
    <t>SS-XP6R — FLASHSCAN/CLIP 6 way Relay Module (XP6R) (FireSense)</t>
  </si>
  <si>
    <t>firesense ss-xp6r flashscan/clip 6 way relay module (xp6r)</t>
  </si>
  <si>
    <t>SSF-A-951R-BK</t>
  </si>
  <si>
    <t>FST-951RAUS-BL - BLACK - FLASHSCAN 900 - ROR Thermal Detector</t>
  </si>
  <si>
    <t>SSF-A-951R-BK — FST-951RAUS-BL - BLACK - FLASHSCAN 900 - ROR Thermal Detector (FireSense)</t>
  </si>
  <si>
    <t>firesense ssf-a-951r-bk fst-951raus-bl - black - flashscan 900 - ror thermal detector</t>
  </si>
  <si>
    <t>SSF-A-951R-IV</t>
  </si>
  <si>
    <t>FST-951RAUS-IV - IVORY - FLASHSCAN 900 - ROR Thermal Detector</t>
  </si>
  <si>
    <t>SSF-A-951R-IV — FST-951RAUS-IV - IVORY - FLASHSCAN 900 - ROR Thermal Detector (FireSense)</t>
  </si>
  <si>
    <t>firesense ssf-a-951r-iv fst-951raus-iv - ivory - flashscan 900 - ror thermal detector</t>
  </si>
  <si>
    <t>SSF-A-951R-W</t>
  </si>
  <si>
    <t>FST-951RAUS - WHITE - FLASHSCAN 900 - ROR Thermal Detector</t>
  </si>
  <si>
    <t>SSF-A-951R-W — FST-951RAUS - WHITE - FLASHSCAN 900 - ROR Thermal Detector (FireSense)</t>
  </si>
  <si>
    <t>firesense ssf-a-951r-w fst-951raus - white - flashscan 900 - ror thermal detector</t>
  </si>
  <si>
    <t>SSF-ADD-PROG</t>
  </si>
  <si>
    <t>CP500 Programmer for Sealed Addressable Detectors</t>
  </si>
  <si>
    <t>SSF-ADD-PROG — CP500 Programmer for Sealed Addressable Detectors (FireSense)</t>
  </si>
  <si>
    <t>firesense ssf-add-prog cp500 programmer for sealed addressable detectors</t>
  </si>
  <si>
    <t>SSF-AS-851R-IV</t>
  </si>
  <si>
    <t>FST-851R-WP - IVORY - SEALED - FLASHSCAN ROR Thermal Detector</t>
  </si>
  <si>
    <t>SSF-AS-851R-IV — FST-851R-WP - IVORY - SEALED - FLASHSCAN ROR Thermal Detector (FireSense)</t>
  </si>
  <si>
    <t>firesense ssf-as-851r-iv fst-851r-wp - ivory - sealed - flashscan ror thermal detector</t>
  </si>
  <si>
    <t>SSF-B-951-BK</t>
  </si>
  <si>
    <t>FST-951AUS-BL - BLACK - FLASHSCAN 900 - Fixed Thermal Detector</t>
  </si>
  <si>
    <t>SSF-B-951-BK — FST-951AUS-BL - BLACK - FLASHSCAN 900 - Fixed Thermal Detector (FireSense)</t>
  </si>
  <si>
    <t>firesense ssf-b-951-bk fst-951aus-bl - black - flashscan 900 - fixed thermal detector</t>
  </si>
  <si>
    <t>SSF-B-951-IV</t>
  </si>
  <si>
    <t>FST-951AUS-IV - IVORY - FLASHSCAN 900 - Fixed Thermal Detector</t>
  </si>
  <si>
    <t>SSF-B-951-IV — FST-951AUS-IV - IVORY - FLASHSCAN 900 - Fixed Thermal Detector (FireSense)</t>
  </si>
  <si>
    <t>firesense ssf-b-951-iv fst-951aus-iv - ivory - flashscan 900 - fixed thermal detector</t>
  </si>
  <si>
    <t>SSF-B-951-W</t>
  </si>
  <si>
    <t>FST-951AUS - WHITE - FLASHSCAN 900 - Fixed Thermal Detector</t>
  </si>
  <si>
    <t>SSF-B-951-W — FST-951AUS - WHITE - FLASHSCAN 900 - Fixed Thermal Detector (FireSense)</t>
  </si>
  <si>
    <t>firesense ssf-b-951-w fst-951aus - white - flashscan 900 - fixed thermal detector</t>
  </si>
  <si>
    <t>SSF-BASE-BK</t>
  </si>
  <si>
    <t>B501AUS-BK - BLACK - Base for FLASHSCAN Detectors</t>
  </si>
  <si>
    <t>SSF-BASE-BK — B501AUS-BK - BLACK - Base for FLASHSCAN Detectors (FireSense)</t>
  </si>
  <si>
    <t>firesense ssf-base-bk b501aus-bk - black - base for flashscan detectors</t>
  </si>
  <si>
    <t>SSF-BASE-IV</t>
  </si>
  <si>
    <t>B501AUS-IV - IVORY - Base for FLASHSCAN Detectors</t>
  </si>
  <si>
    <t>SSF-BASE-IV — B501AUS-IV - IVORY - Base for FLASHSCAN Detectors (FireSense)</t>
  </si>
  <si>
    <t>firesense ssf-base-iv b501aus-iv - ivory - base for flashscan detectors</t>
  </si>
  <si>
    <t>SSF-BASE-W</t>
  </si>
  <si>
    <t>B501AUS-W - WHITE - Base for FLASHSCAN Detectors</t>
  </si>
  <si>
    <t>SSF-BASE-W — B501AUS-W - WHITE - Base for FLASHSCAN Detectors (FireSense)</t>
  </si>
  <si>
    <t>firesense ssf-base-w b501aus-w - white - base for flashscan detectors</t>
  </si>
  <si>
    <t>SSF-BS-851-IV</t>
  </si>
  <si>
    <t>FST-851-WP - IVORY - SEALED - FLASHSCAN Fixed Temp Detector</t>
  </si>
  <si>
    <t>SSF-BS-851-IV — FST-851-WP - IVORY - SEALED - FLASHSCAN Fixed Temp Detector (FireSense)</t>
  </si>
  <si>
    <t>firesense ssf-bs-851-iv fst-851-wp - ivory - sealed - flashscan fixed temp detector</t>
  </si>
  <si>
    <t>SSF-D-951H-IV</t>
  </si>
  <si>
    <t>FST-951HAUS-IV - IVORY - FLASHSCAN 900 - High Temp Detector</t>
  </si>
  <si>
    <t>SSF-D-951H-IV — FST-951HAUS-IV - IVORY - FLASHSCAN 900 - High Temp Detector (FireSense)</t>
  </si>
  <si>
    <t>firesense ssf-d-951h-iv fst-951haus-iv - ivory - flashscan 900 - high temp detector</t>
  </si>
  <si>
    <t>SSF-D-951H-W</t>
  </si>
  <si>
    <t>FST-951HAUS - WHITE - FLASHSCAN 900 - High Temp Detector</t>
  </si>
  <si>
    <t>SSF-D-951H-W — FST-951HAUS - WHITE - FLASHSCAN 900 - High Temp Detector (FireSense)</t>
  </si>
  <si>
    <t>firesense ssf-d-951h-w fst-951haus - white - flashscan 900 - high temp detector</t>
  </si>
  <si>
    <t>SSF-FCM1</t>
  </si>
  <si>
    <t>FCM-1 - FLASHSCAN/CLIP Supervised Control Module</t>
  </si>
  <si>
    <t>SSF-FCM1 — FCM-1 - FLASHSCAN/CLIP Supervised Control Module (FireSense)</t>
  </si>
  <si>
    <t>firesense ssf-fcm1 fcm-1 - flashscan/clip supervised control module</t>
  </si>
  <si>
    <t>SSF-FDMR1</t>
  </si>
  <si>
    <t>FDMR-1 - FLASHSCAN  2 Input 2 Relay Output Module</t>
  </si>
  <si>
    <t>SSF-FDMR1 — FDMR-1 - FLASHSCAN  2 Input 2 Relay Output Module (FireSense)</t>
  </si>
  <si>
    <t>firesense ssf-fdmr1 fdmr-1 - flashscan  2 input 2 relay output module</t>
  </si>
  <si>
    <t>SSF-FMM1</t>
  </si>
  <si>
    <t>FLASHSCAN  Monitor Module (FMM-1)</t>
  </si>
  <si>
    <t>SSF-FMM1 — FLASHSCAN  Monitor Module (FMM-1) (FireSense)</t>
  </si>
  <si>
    <t>firesense ssf-fmm1 flashscan  monitor module (fmm-1)</t>
  </si>
  <si>
    <t>SSF-FMM101</t>
  </si>
  <si>
    <t>FLASHSCAN  Mini Monitor Module (FMM-101)</t>
  </si>
  <si>
    <t>SSF-FMM101 — FLASHSCAN  Mini Monitor Module (FMM-101) (FireSense)</t>
  </si>
  <si>
    <t>firesense ssf-fmm101 flashscan  mini monitor module (fmm-101)</t>
  </si>
  <si>
    <t>SSF-FRM1</t>
  </si>
  <si>
    <t>FRM-1 - FLASHSCAN/CLIP  Relay Control Module</t>
  </si>
  <si>
    <t>SSF-FRM1 — FRM-1 - FLASHSCAN/CLIP  Relay Control Module (FireSense)</t>
  </si>
  <si>
    <t>firesense ssf-frm1 frm-1 - flashscan/clip  relay control module</t>
  </si>
  <si>
    <t>SSF-ISOBASE-IV</t>
  </si>
  <si>
    <t>B501BI-IV (B5241-EFT-1-IV) - IVORY - ISOLATOR Base</t>
  </si>
  <si>
    <t>SSF-ISOBASE-IV — B501BI-IV (B5241-EFT-1-IV) - IVORY - ISOLATOR Base (FireSense)</t>
  </si>
  <si>
    <t>firesense ssf-isobase-iv b501bi-iv (b5241-eft-1-iv) - ivory - isolator base</t>
  </si>
  <si>
    <t>SSF-ISOBASE-W</t>
  </si>
  <si>
    <t>B501BI-W (B5241-EFT-1W) - WHITE - ISOLATOR Base</t>
  </si>
  <si>
    <t>SSF-ISOBASE-W — B501BI-W (B5241-EFT-1W) - WHITE - ISOLATOR Base (FireSense)</t>
  </si>
  <si>
    <t>firesense ssf-isobase-w b501bi-w (b5241-eft-1w) - white - isolator base</t>
  </si>
  <si>
    <t>SSF-OSI-RI</t>
  </si>
  <si>
    <t>FS-OSI-RI Addressable Beam Detector</t>
  </si>
  <si>
    <t>SSF-OSI-RI — FS-OSI-RI Addressable Beam Detector (FireSense)</t>
  </si>
  <si>
    <t>firesense ssf-osi-ri fs-osi-ri addressable beam detector</t>
  </si>
  <si>
    <t>SSF-P-951-BK</t>
  </si>
  <si>
    <t>FSP-951AUS-BL - BLACK - FLASHSCAN 900 - Photo Optical Detector</t>
  </si>
  <si>
    <t>SSF-P-951-BK — FSP-951AUS-BL - BLACK - FLASHSCAN 900 - Photo Optical Detector (FireSense)</t>
  </si>
  <si>
    <t>firesense ssf-p-951-bk fsp-951aus-bl - black - flashscan 900 - photo optical detector</t>
  </si>
  <si>
    <t>SSF-P-951-IV</t>
  </si>
  <si>
    <t>FSP-951AUS-IV - IVORY - FLASHSCAN 900 - Photo Optical Detector</t>
  </si>
  <si>
    <t>SSF-P-951-IV — FSP-951AUS-IV - IVORY - FLASHSCAN 900 - Photo Optical Detector (FireSense)</t>
  </si>
  <si>
    <t>firesense ssf-p-951-iv fsp-951aus-iv - ivory - flashscan 900 - photo optical detector</t>
  </si>
  <si>
    <t>SSF-P-951-W</t>
  </si>
  <si>
    <t>FSP-951AUS - WHITE - FLASHSCAN 900 - Photo Optical Detector</t>
  </si>
  <si>
    <t>SSF-P-951-W — FSP-951AUS - WHITE - FLASHSCAN 900 - Photo Optical Detector (FireSense)</t>
  </si>
  <si>
    <t>firesense ssf-p-951-w fsp-951aus - white - flashscan 900 - photo optical detector</t>
  </si>
  <si>
    <t>SSF-PROBE-DNR</t>
  </si>
  <si>
    <t>SSF-PROBE-DNR Addressable Duct Probe without Detector</t>
  </si>
  <si>
    <t>SSF-PROBE-DNR — SSF-PROBE-DNR Addressable Duct Probe without Detector (FireSense)</t>
  </si>
  <si>
    <t>firesense ssf-probe-dnr ssf-probe-dnr addressable duct probe without detector</t>
  </si>
  <si>
    <t>SSF-PROBE-DNRW</t>
  </si>
  <si>
    <t>SSF-PROBE-DNR Addressable Duct Probe without Detector - IP66</t>
  </si>
  <si>
    <t>SSF-PROBE-DNRW — SSF-PROBE-DNR Addressable Duct Probe without Detector - IP66 (FireSense)</t>
  </si>
  <si>
    <t>firesense ssf-probe-dnrw ssf-probe-dnr addressable duct probe without detector - ip66</t>
  </si>
  <si>
    <t>SSF-PTI-951-IV</t>
  </si>
  <si>
    <t>FPTI-951AUS-IV - IVORY - FLASHSCAN 900 - Photo Thermal IR Detector</t>
  </si>
  <si>
    <t>SSF-PTI-951-IV — FPTI-951AUS-IV - IVORY - FLASHSCAN 900 - Photo Thermal IR Detector (FireSense)</t>
  </si>
  <si>
    <t>firesense ssf-pti-951-iv fpti-951aus-iv - ivory - flashscan 900 - photo thermal ir detector</t>
  </si>
  <si>
    <t>SSF-PTI-951-W</t>
  </si>
  <si>
    <t>FPTI-951AUS - WHITE - FLASHSCAN 900 - Photo Thermal IR Detector</t>
  </si>
  <si>
    <t>SSF-PTI-951-W — FPTI-951AUS - WHITE - FLASHSCAN 900 - Photo Thermal IR Detector (FireSense)</t>
  </si>
  <si>
    <t>firesense ssf-pti-951-w fpti-951aus - white - flashscan 900 - photo thermal ir detector</t>
  </si>
  <si>
    <t>FR-0.75-2C</t>
  </si>
  <si>
    <t>Fire Rated Cable - 0.75mm - 2 Core</t>
  </si>
  <si>
    <t>FR-0.75-2C — Fire Rated Cable - 0.75mm - 2 Core (FireSense)</t>
  </si>
  <si>
    <t>firesense fr-0.75-2c fire rated cable - 0.75mm - 2 core</t>
  </si>
  <si>
    <t>FR-0.75-2C-250</t>
  </si>
  <si>
    <t>Fire Rated Cable - 0.75mm - 2 Core - 250m Roll</t>
  </si>
  <si>
    <t>FR-0.75-2C-250 — Fire Rated Cable - 0.75mm - 2 Core - 250m Roll (FireSense)</t>
  </si>
  <si>
    <t>firesense fr-0.75-2c-250 fire rated cable - 0.75mm - 2 core - 250m roll</t>
  </si>
  <si>
    <t>FR-0.75-2C-500</t>
  </si>
  <si>
    <t>Fire Rated Cable - 0.75mm - 2 Core - 500m Roll</t>
  </si>
  <si>
    <t>FR-0.75-2C-500 — Fire Rated Cable - 0.75mm - 2 Core - 500m Roll (FireSense)</t>
  </si>
  <si>
    <t>firesense fr-0.75-2c-500 fire rated cable - 0.75mm - 2 core - 500m roll</t>
  </si>
  <si>
    <t>FR-1.00-2C</t>
  </si>
  <si>
    <t>Fire Rated Cable - 1.00mm - 2 Core</t>
  </si>
  <si>
    <t>FR-1.00-2C — Fire Rated Cable - 1.00mm - 2 Core (FireSense)</t>
  </si>
  <si>
    <t>firesense fr-1.00-2c fire rated cable - 1.00mm - 2 core</t>
  </si>
  <si>
    <t>FR-1.00-2C-250</t>
  </si>
  <si>
    <t>Fire Rated Cable - 1.00mm - 2 Core - 250m Roll</t>
  </si>
  <si>
    <t>FR-1.00-2C-250 — Fire Rated Cable - 1.00mm - 2 Core - 250m Roll (FireSense)</t>
  </si>
  <si>
    <t>firesense fr-1.00-2c-250 fire rated cable - 1.00mm - 2 core - 250m roll</t>
  </si>
  <si>
    <t>FR-1.00-2C-500</t>
  </si>
  <si>
    <t>Fire Rated Cable - 1.00mm - 2 Core - 500m Roll</t>
  </si>
  <si>
    <t>FR-1.00-2C-500 — Fire Rated Cable - 1.00mm - 2 Core - 500m Roll (FireSense)</t>
  </si>
  <si>
    <t>firesense fr-1.00-2c-500 fire rated cable - 1.00mm - 2 core - 500m roll</t>
  </si>
  <si>
    <t>FR-1.50-2C</t>
  </si>
  <si>
    <t>Fire Rated Cable - 1.50mm - 2 Core</t>
  </si>
  <si>
    <t>FR-1.50-2C — Fire Rated Cable - 1.50mm - 2 Core (FireSense)</t>
  </si>
  <si>
    <t>firesense fr-1.50-2c fire rated cable - 1.50mm - 2 core</t>
  </si>
  <si>
    <t>FR-1.50-2C-250</t>
  </si>
  <si>
    <t>Fire Rated Cable - 1.50mm - 2 Core - 250m Roll</t>
  </si>
  <si>
    <t>FR-1.50-2C-250 — Fire Rated Cable - 1.50mm - 2 Core - 250m Roll (FireSense)</t>
  </si>
  <si>
    <t>firesense fr-1.50-2c-250 fire rated cable - 1.50mm - 2 core - 250m roll</t>
  </si>
  <si>
    <t>FR-1.50-2C-500</t>
  </si>
  <si>
    <t>Fire Rated Cable - 1.50mm - 2 Core - 500m Roll</t>
  </si>
  <si>
    <t>FR-1.50-2C-500 — Fire Rated Cable - 1.50mm - 2 Core - 500m Roll (FireSense)</t>
  </si>
  <si>
    <t>firesense fr-1.50-2c-500 fire rated cable - 1.50mm - 2 core - 500m roll</t>
  </si>
  <si>
    <t>FR-2.50-2C</t>
  </si>
  <si>
    <t>Fire Rated Cable - 2.50mm - 2 Core</t>
  </si>
  <si>
    <t>FR-2.50-2C — Fire Rated Cable - 2.50mm - 2 Core (FireSense)</t>
  </si>
  <si>
    <t>firesense fr-2.50-2c fire rated cable - 2.50mm - 2 core</t>
  </si>
  <si>
    <t>FR-2.50-2C-250</t>
  </si>
  <si>
    <t>Fire Rated Cable - 2.50mm - 2 Core - 250m Roll</t>
  </si>
  <si>
    <t>FR-2.50-2C-250 — Fire Rated Cable - 2.50mm - 2 Core - 250m Roll (FireSense)</t>
  </si>
  <si>
    <t>firesense fr-2.50-2c-250 fire rated cable - 2.50mm - 2 core - 250m roll</t>
  </si>
  <si>
    <t>FR-2.50-2C-500</t>
  </si>
  <si>
    <t>Fire Rated Cable - 2.50mm - 2 Core - 500m Roll</t>
  </si>
  <si>
    <t>FR-2.50-2C-500 — Fire Rated Cable - 2.50mm - 2 Core - 500m Roll (FireSense)</t>
  </si>
  <si>
    <t>firesense fr-2.50-2c-500 fire rated cable - 2.50mm - 2 core - 500m roll</t>
  </si>
  <si>
    <t>FR-4.00-2C</t>
  </si>
  <si>
    <t>Fire Rated Cable - 4.00mm - 2 Core</t>
  </si>
  <si>
    <t>FR-4.00-2C — Fire Rated Cable - 4.00mm - 2 Core (FireSense)</t>
  </si>
  <si>
    <t>firesense fr-4.00-2c fire rated cable - 4.00mm - 2 core</t>
  </si>
  <si>
    <t>FR-6.00-2C</t>
  </si>
  <si>
    <t>Fire Rated Cable - 6.00mm - 2 Core</t>
  </si>
  <si>
    <t>FR-6.00-2C — Fire Rated Cable - 6.00mm - 2 Core (FireSense)</t>
  </si>
  <si>
    <t>firesense fr-6.00-2c fire rated cable - 6.00mm - 2 core</t>
  </si>
  <si>
    <t>FR-0.75-2CS</t>
  </si>
  <si>
    <t>Fire Rated Cable - 0.75mm - 2 Core Screened</t>
  </si>
  <si>
    <t>FR-0.75-2CS — Fire Rated Cable - 0.75mm - 2 Core Screened (FireSense)</t>
  </si>
  <si>
    <t>firesense fr-0.75-2cs fire rated cable - 0.75mm - 2 core screened</t>
  </si>
  <si>
    <t>FR-0.75-2CS-250</t>
  </si>
  <si>
    <t>Fire Rated Cable - 0.75mm - 2 Core Screened - 250m Roll</t>
  </si>
  <si>
    <t>FR-0.75-2CS-250 — Fire Rated Cable - 0.75mm - 2 Core Screened - 250m Roll (FireSense)</t>
  </si>
  <si>
    <t>firesense fr-0.75-2cs-250 fire rated cable - 0.75mm - 2 core screened - 250m roll</t>
  </si>
  <si>
    <t>FR-0.75-2CS-500</t>
  </si>
  <si>
    <t>Fire Rated Cable - 0.75mm - 2 Core Screened - 500m Roll</t>
  </si>
  <si>
    <t>FR-0.75-2CS-500 — Fire Rated Cable - 0.75mm - 2 Core Screened - 500m Roll (FireSense)</t>
  </si>
  <si>
    <t>firesense fr-0.75-2cs-500 fire rated cable - 0.75mm - 2 core screened - 500m roll</t>
  </si>
  <si>
    <t>FR-1.50-2CS</t>
  </si>
  <si>
    <t>Fire Rated Cable - 1.50mm - 2 Core Screened</t>
  </si>
  <si>
    <t>FR-1.50-2CS — Fire Rated Cable - 1.50mm - 2 Core Screened (FireSense)</t>
  </si>
  <si>
    <t>firesense fr-1.50-2cs fire rated cable - 1.50mm - 2 core screened</t>
  </si>
  <si>
    <t>FR-1.50-2CS-250</t>
  </si>
  <si>
    <t>Fire Rated Cable - 1.50mm - 2 Core Screened - 250m Roll</t>
  </si>
  <si>
    <t>FR-1.50-2CS-250 — Fire Rated Cable - 1.50mm - 2 Core Screened - 250m Roll (FireSense)</t>
  </si>
  <si>
    <t>firesense fr-1.50-2cs-250 fire rated cable - 1.50mm - 2 core screened - 250m roll</t>
  </si>
  <si>
    <t>FR-1.50-2CS-500</t>
  </si>
  <si>
    <t>Fire Rated Cable - 1.50mm - 2 Core Screened - 500m Roll</t>
  </si>
  <si>
    <t>FR-1.50-2CS-500 — Fire Rated Cable - 1.50mm - 2 Core Screened - 500m Roll (FireSense)</t>
  </si>
  <si>
    <t>firesense fr-1.50-2cs-500 fire rated cable - 1.50mm - 2 core screened - 500m roll</t>
  </si>
  <si>
    <t>FR-2.50-2CS</t>
  </si>
  <si>
    <t>Fire Rated Cable - 2.50mm - 2 Core Screened</t>
  </si>
  <si>
    <t>FR-2.50-2CS — Fire Rated Cable - 2.50mm - 2 Core Screened (FireSense)</t>
  </si>
  <si>
    <t>firesense fr-2.50-2cs fire rated cable - 2.50mm - 2 core screened</t>
  </si>
  <si>
    <t>FR-0.75-2CW</t>
  </si>
  <si>
    <t>Fire Rated Cable - 0.75mm - 2 Core with White Stripe</t>
  </si>
  <si>
    <t>FR-0.75-2CW — Fire Rated Cable - 0.75mm - 2 Core with White Stripe (FireSense)</t>
  </si>
  <si>
    <t>firesense fr-0.75-2cw fire rated cable - 0.75mm - 2 core with white stripe</t>
  </si>
  <si>
    <t>FR-0.75-2CW-250</t>
  </si>
  <si>
    <t>Fire Rated Cable - 0.75mm - 2 Core with White Stripe - 250m Roll</t>
  </si>
  <si>
    <t>FR-0.75-2CW-250 — Fire Rated Cable - 0.75mm - 2 Core with White Stripe - 250m Roll (FireSense)</t>
  </si>
  <si>
    <t>firesense fr-0.75-2cw-250 fire rated cable - 0.75mm - 2 core with white stripe - 250m roll</t>
  </si>
  <si>
    <t>FR-0.75-2CW-500</t>
  </si>
  <si>
    <t>Fire Rated Cable - 0.75mm - 2 Core with White Stripe - 500m Roll</t>
  </si>
  <si>
    <t>FR-0.75-2CW-500 — Fire Rated Cable - 0.75mm - 2 Core with White Stripe - 500m Roll (FireSense)</t>
  </si>
  <si>
    <t>firesense fr-0.75-2cw-500 fire rated cable - 0.75mm - 2 core with white stripe - 500m roll</t>
  </si>
  <si>
    <t>FR-1.00-2CW</t>
  </si>
  <si>
    <t>Fire Rated Cable - 1.00mm - 2 Core with White Stripe</t>
  </si>
  <si>
    <t>FR-1.00-2CW — Fire Rated Cable - 1.00mm - 2 Core with White Stripe (FireSense)</t>
  </si>
  <si>
    <t>firesense fr-1.00-2cw fire rated cable - 1.00mm - 2 core with white stripe</t>
  </si>
  <si>
    <t>FR-1.00-2CW-250</t>
  </si>
  <si>
    <t>Fire Rated Cable - 1.00mm - 2 Core with White Stripe - 250m Roll</t>
  </si>
  <si>
    <t>FR-1.00-2CW-250 — Fire Rated Cable - 1.00mm - 2 Core with White Stripe - 250m Roll (FireSense)</t>
  </si>
  <si>
    <t>firesense fr-1.00-2cw-250 fire rated cable - 1.00mm - 2 core with white stripe - 250m roll</t>
  </si>
  <si>
    <t>FR-1.00-2CW-500</t>
  </si>
  <si>
    <t>Fire Rated Cable - 1.00mm - 2 Core with White Stripe - 500m Roll</t>
  </si>
  <si>
    <t>FR-1.00-2CW-500 — Fire Rated Cable - 1.00mm - 2 Core with White Stripe - 500m Roll (FireSense)</t>
  </si>
  <si>
    <t>firesense fr-1.00-2cw-500 fire rated cable - 1.00mm - 2 core with white stripe - 500m roll</t>
  </si>
  <si>
    <t>FR-1.50-2CW</t>
  </si>
  <si>
    <t>Fire Rated Cable - 1.50mm - 2 Core with White Stripe</t>
  </si>
  <si>
    <t>FR-1.50-2CW — Fire Rated Cable - 1.50mm - 2 Core with White Stripe (FireSense)</t>
  </si>
  <si>
    <t>firesense fr-1.50-2cw fire rated cable - 1.50mm - 2 core with white stripe</t>
  </si>
  <si>
    <t>FR-1.50-2CW-250</t>
  </si>
  <si>
    <t>Fire Rated Cable - 1.50mm - 2 Core with White Stripe - 250m Roll</t>
  </si>
  <si>
    <t>FR-1.50-2CW-250 — Fire Rated Cable - 1.50mm - 2 Core with White Stripe - 250m Roll (FireSense)</t>
  </si>
  <si>
    <t>firesense fr-1.50-2cw-250 fire rated cable - 1.50mm - 2 core with white stripe - 250m roll</t>
  </si>
  <si>
    <t>FR-1.50-2CW-500</t>
  </si>
  <si>
    <t>Fire Rated Cable - 1.50mm - 2 Core with White Stripe - 500m Roll</t>
  </si>
  <si>
    <t>FR-1.50-2CW-500 — Fire Rated Cable - 1.50mm - 2 Core with White Stripe - 500m Roll (FireSense)</t>
  </si>
  <si>
    <t>firesense fr-1.50-2cw-500 fire rated cable - 1.50mm - 2 core with white stripe - 500m roll</t>
  </si>
  <si>
    <t>FR-0.75-10C</t>
  </si>
  <si>
    <t>Fire Rated Cable - 0.75mm - 10 Core - (5 pair)</t>
  </si>
  <si>
    <t>FR-0.75-10C — Fire Rated Cable - 0.75mm - 10 Core - (5 pair) (FireSense)</t>
  </si>
  <si>
    <t>firesense fr-0.75-10c fire rated cable - 0.75mm - 10 core - (5 pair)</t>
  </si>
  <si>
    <t>FR-0.75-3C</t>
  </si>
  <si>
    <t>Fire Rated Cable - 0.75mm - 3 Core</t>
  </si>
  <si>
    <t>FR-0.75-3C — Fire Rated Cable - 0.75mm - 3 Core (FireSense)</t>
  </si>
  <si>
    <t>firesense fr-0.75-3c fire rated cable - 0.75mm - 3 core</t>
  </si>
  <si>
    <t>FR-0.75-3C-500</t>
  </si>
  <si>
    <t>Fire Rated Cable - 0.75mm - 3 Core - 500m Roll</t>
  </si>
  <si>
    <t>FR-0.75-3C-500 — Fire Rated Cable - 0.75mm - 3 Core - 500m Roll (FireSense)</t>
  </si>
  <si>
    <t>firesense fr-0.75-3c-500 fire rated cable - 0.75mm - 3 core - 500m roll</t>
  </si>
  <si>
    <t>FR-0.75-4CS</t>
  </si>
  <si>
    <t>Fire Rated Cable - 0.75mm - 4 Core Screened</t>
  </si>
  <si>
    <t>FR-0.75-4CS — Fire Rated Cable - 0.75mm - 4 Core Screened (FireSense)</t>
  </si>
  <si>
    <t>firesense fr-0.75-4cs fire rated cable - 0.75mm - 4 core screened</t>
  </si>
  <si>
    <t>FR-1.50-10C</t>
  </si>
  <si>
    <t>Fire Rated Cable - 1.50mm - 10 Core</t>
  </si>
  <si>
    <t>FR-1.50-10C — Fire Rated Cable - 1.50mm - 10 Core (FireSense)</t>
  </si>
  <si>
    <t>firesense fr-1.50-10c fire rated cable - 1.50mm - 10 core</t>
  </si>
  <si>
    <t>FR-1.50-1C-R-500</t>
  </si>
  <si>
    <t>Fire Rated Cable - 1.50mm - 1 Core - Red - 500m Roll</t>
  </si>
  <si>
    <t>FR-1.50-1C-R-500 — Fire Rated Cable - 1.50mm - 1 Core - Red - 500m Roll (FireSense)</t>
  </si>
  <si>
    <t>firesense fr-1.50-1c-r-500 fire rated cable - 1.50mm - 1 core - red - 500m roll</t>
  </si>
  <si>
    <t>FR-1.50-1C-W-500</t>
  </si>
  <si>
    <t>Fire Rated Cable - 1.50mm - 1 Core - White - 500m Roll</t>
  </si>
  <si>
    <t>FR-1.50-1C-W-500 — Fire Rated Cable - 1.50mm - 1 Core - White - 500m Roll (FireSense)</t>
  </si>
  <si>
    <t>firesense fr-1.50-1c-w-500 fire rated cable - 1.50mm - 1 core - white - 500m roll</t>
  </si>
  <si>
    <t>FR-1.50-4C</t>
  </si>
  <si>
    <t>Fire Rated Cable - 1.50mm - 4 Core</t>
  </si>
  <si>
    <t>FR-1.50-4C — Fire Rated Cable - 1.50mm - 4 Core (FireSense)</t>
  </si>
  <si>
    <t>firesense fr-1.50-4c fire rated cable - 1.50mm - 4 core</t>
  </si>
  <si>
    <t>FR-1.50-4C-250</t>
  </si>
  <si>
    <t>Fire Rated Cable - 1.50mm - 4 Core - 250m Roll</t>
  </si>
  <si>
    <t>FR-1.50-4C-250 — Fire Rated Cable - 1.50mm - 4 Core - 250m Roll (FireSense)</t>
  </si>
  <si>
    <t>firesense fr-1.50-4c-250 fire rated cable - 1.50mm - 4 core - 250m roll</t>
  </si>
  <si>
    <t>FR-1.50-4C-500</t>
  </si>
  <si>
    <t>Fire Rated Cable - 1.50mm - 4 Core - 500m Roll</t>
  </si>
  <si>
    <t>FR-1.50-4C-500 — Fire Rated Cable - 1.50mm - 4 Core - 500m Roll (FireSense)</t>
  </si>
  <si>
    <t>firesense fr-1.50-4c-500 fire rated cable - 1.50mm - 4 core - 500m roll</t>
  </si>
  <si>
    <t>FR-1.50-4CS</t>
  </si>
  <si>
    <t>Fire Rated Cable - 1.50mm - 4 Core Screened</t>
  </si>
  <si>
    <t>FR-1.50-4CS — Fire Rated Cable - 1.50mm - 4 Core Screened (FireSense)</t>
  </si>
  <si>
    <t>firesense fr-1.50-4cs fire rated cable - 1.50mm - 4 core screened</t>
  </si>
  <si>
    <t>FR-1.50-4CS-250</t>
  </si>
  <si>
    <t>Fire Rated Cable - 1.50mm - 4 Core Screened - 250m Roll</t>
  </si>
  <si>
    <t>FR-1.50-4CS-250 — Fire Rated Cable - 1.50mm - 4 Core Screened - 250m Roll (FireSense)</t>
  </si>
  <si>
    <t>firesense fr-1.50-4cs-250 fire rated cable - 1.50mm - 4 core screened - 250m roll</t>
  </si>
  <si>
    <t>FR-1.50-6C</t>
  </si>
  <si>
    <t>Fire Rated Cable - 1.50mm - 6 Core</t>
  </si>
  <si>
    <t>FR-1.50-6C — Fire Rated Cable - 1.50mm - 6 Core (FireSense)</t>
  </si>
  <si>
    <t>firesense fr-1.50-6c fire rated cable - 1.50mm - 6 core</t>
  </si>
  <si>
    <t>FR-0.75-8CS</t>
  </si>
  <si>
    <t>Fire Rated Cable - 0.75mm - 8 Core Screened</t>
  </si>
  <si>
    <t>FR-0.75-8CS — Fire Rated Cable - 0.75mm - 8 Core Screened (FireSense)</t>
  </si>
  <si>
    <t>firesense fr-0.75-8cs fire rated cable - 0.75mm - 8 core screened</t>
  </si>
  <si>
    <t>FR-1.50-2CX</t>
  </si>
  <si>
    <t>Fire Rated Cable - 1.50mm - 2 Core - Comms -16 Twists pm</t>
  </si>
  <si>
    <t>FR-1.50-2CX — Fire Rated Cable - 1.50mm - 2 Core - Comms -16 Twists pm (FireSense)</t>
  </si>
  <si>
    <t>firesense fr-1.50-2cx fire rated cable - 1.50mm - 2 core - comms -16 twists pm</t>
  </si>
  <si>
    <t>FR-1.50-2CX-500</t>
  </si>
  <si>
    <t>Fire Rated Cable - 1.50mm - 2 Core - Comms - 500m Roll</t>
  </si>
  <si>
    <t>FR-1.50-2CX-500 — Fire Rated Cable - 1.50mm - 2 Core - Comms - 500m Roll (FireSense)</t>
  </si>
  <si>
    <t>firesense fr-1.50-2cx-500 fire rated cable - 1.50mm - 2 core - comms - 500m roll</t>
  </si>
  <si>
    <t>STI-1280</t>
  </si>
  <si>
    <t>STI-1280 Weather Stopper Back Plate for STI-3150 Increases to IP54</t>
  </si>
  <si>
    <t>STI-1280 — STI-1280 Weather Stopper Back Plate for STI-3150 Increases to IP54 (FireSense)</t>
  </si>
  <si>
    <t>firesense sti-1280 sti-1280 weather stopper back plate for sti-3150 increases to ip54</t>
  </si>
  <si>
    <t>STI-3002</t>
  </si>
  <si>
    <t>STI-3002 Weather Stopper Gasket for STI-3150 Increases to IP54</t>
  </si>
  <si>
    <t>STI-3002 — STI-3002 Weather Stopper Gasket for STI-3150 Increases to IP54 (FireSense)</t>
  </si>
  <si>
    <t>firesense sti-3002 sti-3002 weather stopper gasket for sti-3150 increases to ip54</t>
  </si>
  <si>
    <t>VSP-PIP-024</t>
  </si>
  <si>
    <t>PIP-024 - Non Return Valve for Pipework</t>
  </si>
  <si>
    <t>VSP-PIP-024 — PIP-024 - Non Return Valve for Pipework (FireSense)</t>
  </si>
  <si>
    <t>firesense vsp-pip-024 pip-024 - non return valve for pipework</t>
  </si>
  <si>
    <t>VSP-PURG-2</t>
  </si>
  <si>
    <t>FAAST Purging System AFE70-2 (Low Flow)</t>
  </si>
  <si>
    <t>VSP-PURG-2 — FAAST Purging System AFE70-2 (Low Flow) (FireSense)</t>
  </si>
  <si>
    <t>firesense vsp-purg-2 faast purging system afe70-2 (low flow)</t>
  </si>
  <si>
    <t>VSP-PURG-3</t>
  </si>
  <si>
    <t>FAAST Purging System AFE70-3 (High Flow and sub-zero temperatures)</t>
  </si>
  <si>
    <t>VSP-PURG-3 — FAAST Purging System AFE70-3 (High Flow and sub-zero temperatures) (FireSense)</t>
  </si>
  <si>
    <t>firesense vsp-purg-3 faast purging system afe70-3 (high flow and sub-zero temperatures)</t>
  </si>
  <si>
    <t>1600-650-11A</t>
  </si>
  <si>
    <t>FS-1600, 8 Zone, PS-11, In 650 Cabinet</t>
  </si>
  <si>
    <t>1600-650-11A — FS-1600, 8 Zone, PS-11, In 650 Cabinet (FireSense)</t>
  </si>
  <si>
    <t>firesense 1600-650-11a fs-1600, 8 zone, ps-11, in 650 cabinet</t>
  </si>
  <si>
    <t>1600-650-11A-G</t>
  </si>
  <si>
    <t>FS-1600, 8 Zone, PS-11, Gas Module with Stop Gas, In 650 Cabinet</t>
  </si>
  <si>
    <t>1600-650-11A-G — FS-1600, 8 Zone, PS-11, Gas Module with Stop Gas, In 650 Cabinet (FireSense)</t>
  </si>
  <si>
    <t>firesense 1600-650-11a-g fs-1600, 8 zone, ps-11, gas module with stop gas, in 650 cabinet</t>
  </si>
  <si>
    <t>1600-650-5A</t>
  </si>
  <si>
    <t>FS-1600, 8 Zone, PS-5, In 650 Cabinet</t>
  </si>
  <si>
    <t>1600-650-5A — FS-1600, 8 Zone, PS-5, In 650 Cabinet (FireSense)</t>
  </si>
  <si>
    <t>firesense 1600-650-5a fs-1600, 8 zone, ps-5, in 650 cabinet</t>
  </si>
  <si>
    <t>1600-650-5A-30WDA2</t>
  </si>
  <si>
    <t>FS-1600, 8 Zone, PS-5, 30w DA2 OWS, Mic, In 650 Cabinet</t>
  </si>
  <si>
    <t>1600-650-5A-30WDA2 — FS-1600, 8 Zone, PS-5, 30w DA2 OWS, Mic, In 650 Cabinet (FireSense)</t>
  </si>
  <si>
    <t>firesense 1600-650-5a-30wda2 fs-1600, 8 zone, ps-5, 30w da2 ows, mic, in 650 cabinet</t>
  </si>
  <si>
    <t>1600-900-11A</t>
  </si>
  <si>
    <t>FS-1600, 8 Zone, PS-11, In 900 Cabinet</t>
  </si>
  <si>
    <t>1600-900-11A — FS-1600, 8 Zone, PS-11, In 900 Cabinet (FireSense)</t>
  </si>
  <si>
    <t>firesense 1600-900-11a fs-1600, 8 zone, ps-11, in 900 cabinet</t>
  </si>
  <si>
    <t>1600-AEM-ZM8</t>
  </si>
  <si>
    <t>FS-1600 - AEM-ZM8 Remote LED mimic expansion annuciator 9-16 zones</t>
  </si>
  <si>
    <t>1600-AEM-ZM8 — FS-1600 - AEM-ZM8 Remote LED mimic expansion annuciator 9-16 zones (FireSense)</t>
  </si>
  <si>
    <t>firesense 1600-aem-zm8 fs-1600 - aem-zm8 remote led mimic expansion annuciator 9-16 zones</t>
  </si>
  <si>
    <t>1600-LABEL-KIT</t>
  </si>
  <si>
    <t>FS-1600 - Zone label kit</t>
  </si>
  <si>
    <t>1600-LABEL-KIT — FS-1600 - Zone label kit (FireSense)</t>
  </si>
  <si>
    <t>firesense 1600-label-kit fs-1600 - zone label kit</t>
  </si>
  <si>
    <t>1600-ZEM-8</t>
  </si>
  <si>
    <t>FS-1600 - ZEM-8 - 8 Zone expansion module</t>
  </si>
  <si>
    <t>1600-ZEM-8 — FS-1600 - ZEM-8 - 8 Zone expansion module (FireSense)</t>
  </si>
  <si>
    <t>firesense 1600-zem-8 fs-1600 - zem-8 - 8 zone expansion module</t>
  </si>
  <si>
    <t>1668X2</t>
  </si>
  <si>
    <t>Dual Conventional 1668 control and Indication on PCB</t>
  </si>
  <si>
    <t>1668X2 — Dual Conventional 1668 control and Indication on PCB (FireSense)</t>
  </si>
  <si>
    <t>firesense 1668x2 dual conventional 1668 control and indication on pcb</t>
  </si>
  <si>
    <t>3030&amp;VE-USB-CABLE</t>
  </si>
  <si>
    <t>3030 and VESDA-E series USB Programming Cable - 3.0M</t>
  </si>
  <si>
    <t>3030&amp;VE-USB-CABLE — 3030 and VESDA-E series USB Programming Cable - 3.0M (FireSense)</t>
  </si>
  <si>
    <t>firesense 3030&amp;ve-usb-cable 3030 and vesda-e series usb programming cable - 3.0m</t>
  </si>
  <si>
    <t>3030-650-11A</t>
  </si>
  <si>
    <t>3030 1 Loop, PS-11, Display, In 650 Window Cabinet</t>
  </si>
  <si>
    <t>3030-650-11A — 3030 1 Loop, PS-11, Display, In 650 Window Cabinet (FireSense)</t>
  </si>
  <si>
    <t>firesense 3030-650-11a 3030 1 loop, ps-11, display, in 650 window cabinet</t>
  </si>
  <si>
    <t>3030-650-11A-G</t>
  </si>
  <si>
    <t>3030 1 Loop PS-11 Display Gas Module with Stop Gas In 650 Cabinet</t>
  </si>
  <si>
    <t>3030-650-11A-G — 3030 1 Loop PS-11 Display Gas Module with Stop Gas In 650 Cabinet (FireSense)</t>
  </si>
  <si>
    <t>firesense 3030-650-11a-g 3030 1 loop ps-11 display gas module with stop gas in 650 cabinet</t>
  </si>
  <si>
    <t>3030-650-5A</t>
  </si>
  <si>
    <t>3030 1 Loop, PS-5, Display, In 650 Window Cabinet</t>
  </si>
  <si>
    <t>3030-650-5A — 3030 1 Loop, PS-5, Display, In 650 Window Cabinet (FireSense)</t>
  </si>
  <si>
    <t>firesense 3030-650-5a 3030 1 loop, ps-5, display, in 650 window cabinet</t>
  </si>
  <si>
    <t>3030-650-5A-30WDA2</t>
  </si>
  <si>
    <t>3030 1 Loop, PS-5, Display, 30w DA2 OWS, Mic In 650 Window Cabinet</t>
  </si>
  <si>
    <t>3030-650-5A-30WDA2 — 3030 1 Loop, PS-5, Display, 30w DA2 OWS, Mic In 650 Window Cabinet (FireSense)</t>
  </si>
  <si>
    <t>firesense 3030-650-5a-30wda2 3030 1 loop, ps-5, display, 30w da2 ows, mic in 650 window cabinet</t>
  </si>
  <si>
    <t>3030-900-11A</t>
  </si>
  <si>
    <t>3030 1 Loop, PS-11, Display, In 900 Window Cabinet</t>
  </si>
  <si>
    <t>3030-900-11A — 3030 1 Loop, PS-11, Display, In 900 Window Cabinet (FireSense)</t>
  </si>
  <si>
    <t>firesense 3030-900-11a 3030 1 loop, ps-11, display, in 900 window cabinet</t>
  </si>
  <si>
    <t>3030-900-11A-G</t>
  </si>
  <si>
    <t>3030 1 Loop PS-11 Display Gas Module with Stop Gas In 900 Cabinet</t>
  </si>
  <si>
    <t>3030-900-11A-G — 3030 1 Loop PS-11 Display Gas Module with Stop Gas In 900 Cabinet (FireSense)</t>
  </si>
  <si>
    <t>firesense 3030-900-11a-g 3030 1 loop ps-11 display gas module with stop gas in 900 cabinet</t>
  </si>
  <si>
    <t>3030-900-5A</t>
  </si>
  <si>
    <t>3030 1 Loop, PS-5, Display, In 900 Window Cabinet</t>
  </si>
  <si>
    <t>3030-900-5A — 3030 1 Loop, PS-5, Display, In 900 Window Cabinet (FireSense)</t>
  </si>
  <si>
    <t>firesense 3030-900-5a 3030 1 loop, ps-5, display, in 900 window cabinet</t>
  </si>
  <si>
    <t>3030-ACM-24AT</t>
  </si>
  <si>
    <t>ACM-24AT - Control annunciator 24 buttons, 48 LED indications</t>
  </si>
  <si>
    <t>3030-ACM-24AT — ACM-24AT - Control annunciator 24 buttons, 48 LED indications (FireSense)</t>
  </si>
  <si>
    <t>firesense 3030-acm-24at acm-24at - control annunciator 24 buttons, 48 led indications</t>
  </si>
  <si>
    <t>3030-ACM-48A</t>
  </si>
  <si>
    <t>ACM-48A - Annunciator (control) 48 x LED indications</t>
  </si>
  <si>
    <t>3030-ACM-48A — ACM-48A - Annunciator (control) 48 x LED indications (FireSense)</t>
  </si>
  <si>
    <t>firesense 3030-acm-48a acm-48a - annunciator (control) 48 x led indications</t>
  </si>
  <si>
    <t>3030-AEM-24AT</t>
  </si>
  <si>
    <t>AEM-24AT - Expansion annunciator 24 buttons, 48 LED indications</t>
  </si>
  <si>
    <t>3030-AEM-24AT — AEM-24AT - Expansion annunciator 24 buttons, 48 LED indications (FireSense)</t>
  </si>
  <si>
    <t>firesense 3030-aem-24at aem-24at - expansion annunciator 24 buttons, 48 led indications</t>
  </si>
  <si>
    <t>3030-AEM-48A</t>
  </si>
  <si>
    <t>AEM-48A - Annunciator (expander) 48 x LED indications</t>
  </si>
  <si>
    <t>3030-AEM-48A — AEM-48A - Annunciator (expander) 48 x LED indications (FireSense)</t>
  </si>
  <si>
    <t>firesense 3030-aem-48a aem-48a - annunciator (expander) 48 x led indications</t>
  </si>
  <si>
    <t>3030-BB-18U</t>
  </si>
  <si>
    <t>3030-BB-18U - Battery box to suit 18U Fire Panel - Black</t>
  </si>
  <si>
    <t>3030-BB-18U — 3030-BB-18U - Battery box to suit 18U Fire Panel - Black (FireSense)</t>
  </si>
  <si>
    <t>firesense 3030-bb-18u 3030-bb-18u - battery box to suit 18u fire panel - black</t>
  </si>
  <si>
    <t>3030-BB-28U</t>
  </si>
  <si>
    <t>3030-BB-28U - Battery box to suit 28U or 40U Fire Panel - Black</t>
  </si>
  <si>
    <t>3030-BB-28U — 3030-BB-28U - Battery box to suit 28U or 40U Fire Panel - Black (FireSense)</t>
  </si>
  <si>
    <t>firesense 3030-bb-28u 3030-bb-28u - battery box to suit 28u or 40u fire panel - black</t>
  </si>
  <si>
    <t>3030-CPU2</t>
  </si>
  <si>
    <t>CPU2-3030AU - AFP-3030 CPU</t>
  </si>
  <si>
    <t>3030-CPU2 — CPU2-3030AU - AFP-3030 CPU (FireSense)</t>
  </si>
  <si>
    <t>firesense 3030-cpu2 cpu2-3030au - afp-3030 cpu</t>
  </si>
  <si>
    <t>3030-DISPLAY</t>
  </si>
  <si>
    <t>DISP-3030AU - Display module for AFP-3030</t>
  </si>
  <si>
    <t>3030-DISPLAY — DISP-3030AU - Display module for AFP-3030 (FireSense)</t>
  </si>
  <si>
    <t>firesense 3030-display disp-3030au - display module for afp-3030</t>
  </si>
  <si>
    <t>3030-LCD2-80</t>
  </si>
  <si>
    <t>LCD2-80 - 80 character LCD remote mimic panel</t>
  </si>
  <si>
    <t>3030-LCD2-80 — LCD2-80 - 80 character LCD remote mimic panel (FireSense)</t>
  </si>
  <si>
    <t>firesense 3030-lcd2-80 lcd2-80 - 80 character lcd remote mimic panel</t>
  </si>
  <si>
    <t>3030-LDM-32</t>
  </si>
  <si>
    <t>LDM-32 - Lamp Driver Module (control)</t>
  </si>
  <si>
    <t>3030-LDM-32 — LDM-32 - Lamp Driver Module (control) (FireSense)</t>
  </si>
  <si>
    <t>firesense 3030-ldm-32 ldm-32 - lamp driver module (control)</t>
  </si>
  <si>
    <t>3030-LDM-E32</t>
  </si>
  <si>
    <t>LDM-E32 - Lamp Driver Module (expander)</t>
  </si>
  <si>
    <t>3030-LDM-E32 — LDM-E32 - Lamp Driver Module (expander) (FireSense)</t>
  </si>
  <si>
    <t>firesense 3030-ldm-e32 ldm-e32 - lamp driver module (expander)</t>
  </si>
  <si>
    <t>3030-NCA2</t>
  </si>
  <si>
    <t>CPU2-NCA2AU - NCA-2(AU) CPU</t>
  </si>
  <si>
    <t>3030-NCA2 — CPU2-NCA2AU - NCA-2(AU) CPU (FireSense)</t>
  </si>
  <si>
    <t>firesense 3030-nca2 cpu2-nca2au - nca-2(au) cpu</t>
  </si>
  <si>
    <t>3030-SCE-8A</t>
  </si>
  <si>
    <t>SCE-8A - Smoke control Annunciator (expander) 8 x switch groups</t>
  </si>
  <si>
    <t>3030-SCE-8A — SCE-8A - Smoke control Annunciator (expander) 8 x switch groups (FireSense)</t>
  </si>
  <si>
    <t>firesense 3030-sce-8a sce-8a - smoke control annunciator (expander) 8 x switch groups</t>
  </si>
  <si>
    <t>3030-SCE-8L</t>
  </si>
  <si>
    <t>SCE-8L - Smoke Control Module Expander 8 x switch groups</t>
  </si>
  <si>
    <t>3030-SCE-8L — SCE-8L - Smoke Control Module Expander 8 x switch groups (FireSense)</t>
  </si>
  <si>
    <t>firesense 3030-sce-8l sce-8l - smoke control module expander 8 x switch groups</t>
  </si>
  <si>
    <t>3030-SCS-8A</t>
  </si>
  <si>
    <t>SCS-8A - Smoke Control Annunciator (control) 8 x switch groups</t>
  </si>
  <si>
    <t>3030-SCS-8A — SCS-8A - Smoke Control Annunciator (control) 8 x switch groups (FireSense)</t>
  </si>
  <si>
    <t>firesense 3030-scs-8a scs-8a - smoke control annunciator (control) 8 x switch groups</t>
  </si>
  <si>
    <t>3030-SCS-8LA</t>
  </si>
  <si>
    <t>SCS-8LA - Smoke Control Module 8 x switch groups</t>
  </si>
  <si>
    <t>3030-SCS-8LA — SCS-8LA - Smoke Control Module 8 x switch groups (FireSense)</t>
  </si>
  <si>
    <t>firesense 3030-scs-8la scs-8la - smoke control module 8 x switch groups</t>
  </si>
  <si>
    <t>BI-ARE-C</t>
  </si>
  <si>
    <t>BI-ARE-C interface to suit Centaur I or II (Not Cube)</t>
  </si>
  <si>
    <t>BI-ARE-C — BI-ARE-C interface to suit Centaur I or II (Not Cube) (FireSense)</t>
  </si>
  <si>
    <t>firesense bi-are-c bi-are-c interface to suit centaur i or ii (not cube)</t>
  </si>
  <si>
    <t>BI-ARE-CR</t>
  </si>
  <si>
    <t>BI-ARE-CR interface to suit Code Red, Almos (Shallow)</t>
  </si>
  <si>
    <t>BI-ARE-CR — BI-ARE-CR interface to suit Code Red, Almos (Shallow) (FireSense)</t>
  </si>
  <si>
    <t>firesense bi-are-cr bi-are-cr interface to suit code red, almos (shallow)</t>
  </si>
  <si>
    <t>BI-ARE-R</t>
  </si>
  <si>
    <t>BI-ARE-R interface to suit Romteck Almos (deep) &amp; Centaur II Cube</t>
  </si>
  <si>
    <t>BI-ARE-R — BI-ARE-R interface to suit Romteck Almos (deep) &amp; Centaur II Cube (FireSense)</t>
  </si>
  <si>
    <t>firesense bi-are-r bi-are-r interface to suit romteck almos (deep) &amp; centaur ii cube</t>
  </si>
  <si>
    <t>CAB-3030-28U</t>
  </si>
  <si>
    <t>28U Cabinet Black (1330 H x 610 W x 380 D) with inner door and gear plate</t>
  </si>
  <si>
    <t>CAB-3030-28U — 28U Cabinet Black (1330 H x 610 W x 380 D) with inner door and gear plate (FireSense)</t>
  </si>
  <si>
    <t>firesense cab-3030-28u 28u cabinet black (1330 h x 610 w x 380 d) with inner door and gear plate</t>
  </si>
  <si>
    <t>CAB-3030-40U</t>
  </si>
  <si>
    <t>40U Cabinet Black (1865 H x 610 W x 380 D) with inner door and gear plate</t>
  </si>
  <si>
    <t>CAB-3030-40U — 40U Cabinet Black (1865 H x 610 W x 380 D) with inner door and gear plate (FireSense)</t>
  </si>
  <si>
    <t>firesense cab-3030-40u 40u cabinet black (1865 h x 610 w x 380 d) with inner door and gear plate</t>
  </si>
  <si>
    <t>CAB-650-BB-BK</t>
  </si>
  <si>
    <t>Battery Box to suit CAB-650/900 BLACK (Suits batts upto 45A/H)</t>
  </si>
  <si>
    <t>CAB-650-BB-BK — Battery Box to suit CAB-650/900 BLACK (Suits batts upto 45A/H) (FireSense)</t>
  </si>
  <si>
    <t>firesense cab-650-bb-bk battery box to suit cab-650/900 black (suits batts upto 45a/h)</t>
  </si>
  <si>
    <t>ECS-16-WIP-EXT</t>
  </si>
  <si>
    <t>FP2012 : FP  QE20 16 WIP EXTENDER MODULE (8 Zones fitted Only)</t>
  </si>
  <si>
    <t>ECS-16-WIP-EXT — FP2012 : FP  QE20 16 WIP EXTENDER MODULE (8 Zones fitted Only) (FireSense)</t>
  </si>
  <si>
    <t>firesense ecs-16-wip-ext fp2012 : fp  qe20 16 wip extender module (8 zones fitted only)</t>
  </si>
  <si>
    <t>ECS-16-ZONE-EXT</t>
  </si>
  <si>
    <t>FP2013 : FP  QE20 16 ZONE EXTENDER MODULE (8 Zones fitted Only)</t>
  </si>
  <si>
    <t>ECS-16-ZONE-EXT — FP2013 : FP  QE20 16 ZONE EXTENDER MODULE (8 Zones fitted Only) (FireSense)</t>
  </si>
  <si>
    <t>firesense ecs-16-zone-ext fp2013 : fp  qe20 16 zone extender module (8 zones fitted only)</t>
  </si>
  <si>
    <t>ECS-2X4 WAY-SPLIT</t>
  </si>
  <si>
    <t>FP2023 : FP QE20 2 x 4 WAY 100V SPLITTER MODULE</t>
  </si>
  <si>
    <t>ECS-2X4 WAY-SPLIT — FP2023 : FP QE20 2 x 4 WAY 100V SPLITTER MODULE (FireSense)</t>
  </si>
  <si>
    <t>firesense ecs-2x4 way-split fp2023 : fp qe20 2 x 4 way 100v splitter module</t>
  </si>
  <si>
    <t>ECS-8-WIP-EXP-BRD</t>
  </si>
  <si>
    <t>FP2022 : FP QE20 8 WIP EXPANSION BRD C/W LOOM &amp; MTG</t>
  </si>
  <si>
    <t>ECS-8-WIP-EXP-BRD — FP2022 : FP QE20 8 WIP EXPANSION BRD C/W LOOM &amp; MTG (FireSense)</t>
  </si>
  <si>
    <t>firesense ecs-8-wip-exp-brd fp2022 : fp qe20 8 wip expansion brd c/w loom &amp; mtg</t>
  </si>
  <si>
    <t>ECS-8-ZONE-EXP-BRD</t>
  </si>
  <si>
    <t>FP2021 : FP QE20 8 ZONE EXPANSION BRD C/W LOOM &amp; MTG</t>
  </si>
  <si>
    <t>ECS-8-ZONE-EXP-BRD — FP2021 : FP QE20 8 ZONE EXPANSION BRD C/W LOOM &amp; MTG (FireSense)</t>
  </si>
  <si>
    <t>firesense ecs-8-zone-exp-brd fp2021 : fp qe20 8 zone expansion brd c/w loom &amp; mtg</t>
  </si>
  <si>
    <t>ECS-8Z/8-WIP-EXT</t>
  </si>
  <si>
    <t>FP2011 : FP  QE20 8Z/8WIP EXTENDER MODULE</t>
  </si>
  <si>
    <t>ECS-8Z/8-WIP-EXT — FP2011 : FP  QE20 8Z/8WIP EXTENDER MODULE (FireSense)</t>
  </si>
  <si>
    <t>firesense ecs-8z/8-wip-ext fp2011 : fp  qe20 8z/8wip extender module</t>
  </si>
  <si>
    <t>ECS-ALIM</t>
  </si>
  <si>
    <t>ECS-ALIM(TBC) : KIT QE20 BTO ALIM9706 X 2 ON 1 SLOT BRACKET</t>
  </si>
  <si>
    <t>ECS-ALIM — ECS-ALIM(TBC) : KIT QE20 BTO ALIM9706 X 2 ON 1 SLOT BRACKET (FireSense)</t>
  </si>
  <si>
    <t>firesense ecs-alim ecs-alim(tbc) : kit qe20 bto alim9706 x 2 on 1 slot bracket</t>
  </si>
  <si>
    <t>ECS-AMP-1X240W</t>
  </si>
  <si>
    <t>FP2009 : FP  QE20 AMP MODULE  240W</t>
  </si>
  <si>
    <t>ECS-AMP-1X240W — FP2009 : FP  QE20 AMP MODULE  240W (FireSense)</t>
  </si>
  <si>
    <t>firesense ecs-amp-1x240w fp2009 : fp  qe20 amp module  240w</t>
  </si>
  <si>
    <t>ECS-AMP-2X120W</t>
  </si>
  <si>
    <t>FP2008 : FP  QE20 AMP MODULE  DUAL 120W</t>
  </si>
  <si>
    <t>ECS-AMP-2X120W — FP2008 : FP  QE20 AMP MODULE  DUAL 120W (FireSense)</t>
  </si>
  <si>
    <t>firesense ecs-amp-2x120w fp2008 : fp  qe20 amp module  dual 120w</t>
  </si>
  <si>
    <t>ECS-AMP-4X25W</t>
  </si>
  <si>
    <t>FP2006 : FP  QE20 AMP MODULE  QUAD 25W</t>
  </si>
  <si>
    <t>ECS-AMP-4X25W — FP2006 : FP  QE20 AMP MODULE  QUAD 25W (FireSense)</t>
  </si>
  <si>
    <t>firesense ecs-amp-4x25w fp2006 : fp  qe20 amp module  quad 25w</t>
  </si>
  <si>
    <t>ECS-AMP-4X60W-RLYS</t>
  </si>
  <si>
    <t>FP2007 : FP QE20 AMP MODULE QUAD 60W C/W RELAYS</t>
  </si>
  <si>
    <t>ECS-AMP-4X60W-RLYS — FP2007 : FP QE20 AMP MODULE QUAD 60W C/W RELAYS (FireSense)</t>
  </si>
  <si>
    <t>firesense ecs-amp-4x60w-rlys fp2007 : fp qe20 amp module quad 60w c/w relays</t>
  </si>
  <si>
    <t>ECS-CAB-BATT-SHELF</t>
  </si>
  <si>
    <t>FP2020 : FP QE20 19" RACK CAB BATTERY SHELF</t>
  </si>
  <si>
    <t>ECS-CAB-BATT-SHELF — FP2020 : FP QE20 19" RACK CAB BATTERY SHELF (FireSense)</t>
  </si>
  <si>
    <t>firesense ecs-cab-batt-shelf fp2020 : fp qe20 19" rack cab battery shelf</t>
  </si>
  <si>
    <t>ECS-CNTRL</t>
  </si>
  <si>
    <t>FP2000 : FP  QE20 CONTROLLER MODULE</t>
  </si>
  <si>
    <t>ECS-CNTRL — FP2000 : FP  QE20 CONTROLLER MODULE (FireSense)</t>
  </si>
  <si>
    <t>firesense ecs-cntrl fp2000 : fp  qe20 controller module</t>
  </si>
  <si>
    <t>ECS-FIBRE-NET-MM</t>
  </si>
  <si>
    <t>FP2025 : FP QE20 FIBRE IP NETWORKING KIT MULTI MODE</t>
  </si>
  <si>
    <t>ECS-FIBRE-NET-MM — FP2025 : FP QE20 FIBRE IP NETWORKING KIT MULTI MODE (FireSense)</t>
  </si>
  <si>
    <t>firesense ecs-fibre-net-mm fp2025 : fp qe20 fibre ip networking kit multi mode</t>
  </si>
  <si>
    <t>ECS-FIBRE-NET-SM</t>
  </si>
  <si>
    <t>FP2024 : FP QE20 FIBRE IP NETWORKING KIT SINGLE MODE</t>
  </si>
  <si>
    <t>ECS-FIBRE-NET-SM — FP2024 : FP QE20 FIBRE IP NETWORKING KIT SINGLE MODE (FireSense)</t>
  </si>
  <si>
    <t>firesense ecs-fibre-net-sm fp2024 : fp qe20 fibre ip networking kit single mode</t>
  </si>
  <si>
    <t>ECS-FILTER-5 PACK</t>
  </si>
  <si>
    <t>FP2028 : FP QE20 COOLING FAN FILTER 5 PACK</t>
  </si>
  <si>
    <t>ECS-FILTER-5 PACK — FP2028 : FP QE20 COOLING FAN FILTER 5 PACK (FireSense)</t>
  </si>
  <si>
    <t>firesense ecs-filter-5 pack fp2028 : fp qe20 cooling fan filter 5 pack</t>
  </si>
  <si>
    <t>ECS16-USB-CABLE</t>
  </si>
  <si>
    <t>ECS16 USB programming cable - 3.0m</t>
  </si>
  <si>
    <t>ECS16-USB-CABLE — ECS16 USB programming cable - 3.0m (FireSense)</t>
  </si>
  <si>
    <t>firesense ecs16-usb-cable ecs16 usb programming cable - 3.0m</t>
  </si>
  <si>
    <t>EWIS&amp;VESDA-CABLE</t>
  </si>
  <si>
    <t>EWIS &amp; VESDA programming cable assembly - 1.8m</t>
  </si>
  <si>
    <t>EWIS&amp;VESDA-CABLE — EWIS &amp; VESDA programming cable assembly - 1.8m (FireSense)</t>
  </si>
  <si>
    <t>firesense ewis&amp;vesda-cable ewis &amp; vesda programming cable assembly - 1.8m</t>
  </si>
  <si>
    <t>EWIS-AMP200W</t>
  </si>
  <si>
    <t>KT0519 = 2xPA0647 Amplifier Card &amp; Cable (1x200w) (1 set is 2 amp modules)</t>
  </si>
  <si>
    <t>EWIS-AMP200W — KT0519 = 2xPA0647 Amplifier Card &amp; Cable (1x200w) (1 set is 2 amp modules) (FireSense)</t>
  </si>
  <si>
    <t>firesense ewis-amp200w kt0519 = 2xpa0647 amplifier card &amp; cable (1x200w) (1 set is 2 amp modules)</t>
  </si>
  <si>
    <t>EWIS-ECP-KEY-I2000</t>
  </si>
  <si>
    <t>ME0381 First 2 Zones - Mylar (I2000) with Metalwork - No PCB</t>
  </si>
  <si>
    <t>EWIS-ECP-KEY-I2000 — ME0381 First 2 Zones - Mylar (I2000) with Metalwork - No PCB (FireSense)</t>
  </si>
  <si>
    <t>firesense ewis-ecp-key-i2000 me0381 first 2 zones - mylar (i2000) with metalwork - no pcb</t>
  </si>
  <si>
    <t>FS-CAB650</t>
  </si>
  <si>
    <t>Flush surround 50 x 50 to suit CAB650 - Charcoal</t>
  </si>
  <si>
    <t>FS-CAB650 — Flush surround 50 x 50 to suit CAB650 - Charcoal (FireSense)</t>
  </si>
  <si>
    <t>firesense fs-cab650 flush surround 50 x 50 to suit cab650 - charcoal</t>
  </si>
  <si>
    <t>FS-CAB650-BLACK</t>
  </si>
  <si>
    <t>Flush surround 50 x 50 to suit CAB650 - Black Texture (3030)</t>
  </si>
  <si>
    <t>FS-CAB650-BLACK — Flush surround 50 x 50 to suit CAB650 - Black Texture (3030) (FireSense)</t>
  </si>
  <si>
    <t>firesense fs-cab650-black flush surround 50 x 50 to suit cab650 - black texture (3030)</t>
  </si>
  <si>
    <t>FS-CAB900</t>
  </si>
  <si>
    <t>Flush surround 50 x 50 to suit CAB900</t>
  </si>
  <si>
    <t>FS-CAB900 — Flush surround 50 x 50 to suit CAB900 (FireSense)</t>
  </si>
  <si>
    <t>firesense fs-cab900 flush surround 50 x 50 to suit cab900</t>
  </si>
  <si>
    <t>FS-CAB900-BLACK</t>
  </si>
  <si>
    <t>Flush surround 50 x 50 to suit CAB900 - Black Texture (3030)</t>
  </si>
  <si>
    <t>FS-CAB900-BLACK — Flush surround 50 x 50 to suit CAB900 - Black Texture (3030) (FireSense)</t>
  </si>
  <si>
    <t>firesense fs-cab900-black flush surround 50 x 50 to suit cab900 - black texture (3030)</t>
  </si>
  <si>
    <t>FS-LOCKDOWN</t>
  </si>
  <si>
    <t>FireSense Lockdown Unit</t>
  </si>
  <si>
    <t>FS-LOCKDOWN — FireSense Lockdown Unit (FireSense)</t>
  </si>
  <si>
    <t>firesense fs-lockdown firesense lockdown unit</t>
  </si>
  <si>
    <t>I2000-BB</t>
  </si>
  <si>
    <t>Battery box to suit the I2000 Panel - 440mm high</t>
  </si>
  <si>
    <t>I2000-BB — Battery box to suit the I2000 Panel - 440mm high (FireSense)</t>
  </si>
  <si>
    <t>firesense i2000-bb battery box to suit the i2000 panel - 440mm high</t>
  </si>
  <si>
    <t>N-AAM-L</t>
  </si>
  <si>
    <t>Alarm Ack. Module - Loop Powered - Includes Input - Horizontal</t>
  </si>
  <si>
    <t>N-AAM-L — Alarm Ack. Module - Loop Powered - Includes Input - Horizontal (FireSense)</t>
  </si>
  <si>
    <t>firesense n-aam-l alarm ack. module - loop powered - includes input - horizontal</t>
  </si>
  <si>
    <t>N-ABF-1B</t>
  </si>
  <si>
    <t>ABF-1B  - Recess mounting box with trim for 1 x annunciator</t>
  </si>
  <si>
    <t>N-ABF-1B — ABF-1B  - Recess mounting box with trim for 1 x annunciator (FireSense)</t>
  </si>
  <si>
    <t>firesense n-abf-1b abf-1b  - recess mounting box with trim for 1 x annunciator</t>
  </si>
  <si>
    <t>N-ABF-1DB</t>
  </si>
  <si>
    <t>ABF-1DB - Recessed metal box - Perspex door-003 key for LCD-80</t>
  </si>
  <si>
    <t>N-ABF-1DB — ABF-1DB - Recessed metal box - Perspex door-003 key for LCD-80 (FireSense)</t>
  </si>
  <si>
    <t>firesense n-abf-1db abf-1db - recessed metal box - perspex door-003 key for lcd-80</t>
  </si>
  <si>
    <t>N-ABF-2DB</t>
  </si>
  <si>
    <t>ABF-2DB - Recessed metal box - Perspex door-003 key for 2 Annunciators</t>
  </si>
  <si>
    <t>N-ABF-2DB — ABF-2DB - Recessed metal box - Perspex door-003 key for 2 Annunciators (FireSense)</t>
  </si>
  <si>
    <t>firesense n-abf-2db abf-2db - recessed metal box - perspex door-003 key for 2 annunciators</t>
  </si>
  <si>
    <t>N-ABS-1TB</t>
  </si>
  <si>
    <t>ABS-1TB - Metal surface mount box for LCD-80 with trim</t>
  </si>
  <si>
    <t>N-ABS-1TB — ABS-1TB - Metal surface mount box for LCD-80 with trim (FireSense)</t>
  </si>
  <si>
    <t>firesense n-abs-1tb abs-1tb - metal surface mount box for lcd-80 with trim</t>
  </si>
  <si>
    <t>N-ACM-8RA</t>
  </si>
  <si>
    <t>N-ACM-8RA Relay module, 8 C/NO/NC relay contacts</t>
  </si>
  <si>
    <t>N-ACM-8RA — N-ACM-8RA Relay module, 8 C/NO/NC relay contacts (FireSense)</t>
  </si>
  <si>
    <t>firesense n-acm-8ra n-acm-8ra relay module, 8 c/no/nc relay contacts</t>
  </si>
  <si>
    <t>N-GATEWAY</t>
  </si>
  <si>
    <t>Embedded Noti-Fire-Net Gateway - Requires NCM</t>
  </si>
  <si>
    <t>N-GATEWAY — Embedded Noti-Fire-Net Gateway - Requires NCM (FireSense)</t>
  </si>
  <si>
    <t>firesense n-gateway embedded noti-fire-net gateway - requires ncm</t>
  </si>
  <si>
    <t>N-HS-NCM-MF</t>
  </si>
  <si>
    <t>Network Cards High Speed (Multi Mode Fibre) HS-NCM-MF</t>
  </si>
  <si>
    <t>N-HS-NCM-MF — Network Cards High Speed (Multi Mode Fibre) HS-NCM-MF (FireSense)</t>
  </si>
  <si>
    <t>firesense n-hs-ncm-mf network cards high speed (multi mode fibre) hs-ncm-mf</t>
  </si>
  <si>
    <t>N-HS-NCM-MF-SF</t>
  </si>
  <si>
    <t>Network Cards High Speed (Multi Mode-Single Mode Fibre) HS-NCM-MFSF</t>
  </si>
  <si>
    <t>N-HS-NCM-MF-SF — Network Cards High Speed (Multi Mode-Single Mode Fibre) HS-NCM-MFSF (FireSense)</t>
  </si>
  <si>
    <t>firesense n-hs-ncm-mf-sf network cards high speed (multi mode-single mode fibre) hs-ncm-mfsf</t>
  </si>
  <si>
    <t>N-HS-NCM-SF</t>
  </si>
  <si>
    <t>Network Cards High Speed (Single Mode Fibre) HS-NCM-SF</t>
  </si>
  <si>
    <t>N-HS-NCM-SF — Network Cards High Speed (Single Mode Fibre) HS-NCM-SF (FireSense)</t>
  </si>
  <si>
    <t>firesense n-hs-ncm-sf network cards high speed (single mode fibre) hs-ncm-sf</t>
  </si>
  <si>
    <t>N-HS-NCM-W-2</t>
  </si>
  <si>
    <t>Network Cards High Speed (Wire) HS-NCM-W-2</t>
  </si>
  <si>
    <t>N-HS-NCM-W-2 — Network Cards High Speed (Wire) HS-NCM-W-2 (FireSense)</t>
  </si>
  <si>
    <t>firesense n-hs-ncm-w-2 network cards high speed (wire) hs-ncm-w-2</t>
  </si>
  <si>
    <t>N-HS-NCM-W-MF-2</t>
  </si>
  <si>
    <t>Network Cards High Speed (Wire-Multi Mode Fibre) HS-NCM-WMF-2</t>
  </si>
  <si>
    <t>N-HS-NCM-W-MF-2 — Network Cards High Speed (Wire-Multi Mode Fibre) HS-NCM-WMF-2 (FireSense)</t>
  </si>
  <si>
    <t>firesense n-hs-ncm-w-mf-2 network cards high speed (wire-multi mode fibre) hs-ncm-wmf-2</t>
  </si>
  <si>
    <t>N-HS-NCM-W-SF-2</t>
  </si>
  <si>
    <t>Network Cards High Speed (Wire-Single Mode Fibre) HS-NCM-WSF-2</t>
  </si>
  <si>
    <t>N-HS-NCM-W-SF-2 — Network Cards High Speed (Wire-Single Mode Fibre) HS-NCM-WSF-2 (FireSense)</t>
  </si>
  <si>
    <t>firesense n-hs-ncm-w-sf-2 network cards high speed (wire-single mode fibre) hs-ncm-wsf-2</t>
  </si>
  <si>
    <t>N-LCM</t>
  </si>
  <si>
    <t>Loop Control Module - LCM</t>
  </si>
  <si>
    <t>N-LCM — Loop Control Module - LCM (FireSense)</t>
  </si>
  <si>
    <t>firesense n-lcm loop control module - lcm</t>
  </si>
  <si>
    <t>N-LDM-R32</t>
  </si>
  <si>
    <t>LDM-R32 - 32 Relays driven from the LDM-32</t>
  </si>
  <si>
    <t>N-LDM-R32 — LDM-R32 - 32 Relays driven from the LDM-32 (FireSense)</t>
  </si>
  <si>
    <t>firesense n-ldm-r32 ldm-r32 - 32 relays driven from the ldm-32</t>
  </si>
  <si>
    <t>N-LEM</t>
  </si>
  <si>
    <t>Loop Expander Module - LEM</t>
  </si>
  <si>
    <t>N-LEM — Loop Expander Module - LEM (FireSense)</t>
  </si>
  <si>
    <t>firesense n-lem loop expander module - lem</t>
  </si>
  <si>
    <t>N-NCM-F</t>
  </si>
  <si>
    <t>Network Cards (Fibre) NCM-F</t>
  </si>
  <si>
    <t>N-NCM-F — Network Cards (Fibre) NCM-F (FireSense)</t>
  </si>
  <si>
    <t>firesense n-ncm-f network cards (fibre) ncm-f</t>
  </si>
  <si>
    <t>N-NCM-W</t>
  </si>
  <si>
    <t>Network Cards (Wire) NCM-W</t>
  </si>
  <si>
    <t>N-NCM-W — Network Cards (Wire) NCM-W (FireSense)</t>
  </si>
  <si>
    <t>firesense n-ncm-w network cards (wire) ncm-w</t>
  </si>
  <si>
    <t>N-NET-W-R</t>
  </si>
  <si>
    <t>Network Cards - Wire to Wire Repeater</t>
  </si>
  <si>
    <t>N-NET-W-R — Network Cards - Wire to Wire Repeater (FireSense)</t>
  </si>
  <si>
    <t>firesense n-net-w-r network cards - wire to wire repeater</t>
  </si>
  <si>
    <t>N-NET-WF-R</t>
  </si>
  <si>
    <t>Network Cards - Wire to Fibre Repeater</t>
  </si>
  <si>
    <t>N-NET-WF-R — Network Cards - Wire to Fibre Repeater (FireSense)</t>
  </si>
  <si>
    <t>firesense n-net-wf-r network cards - wire to fibre repeater</t>
  </si>
  <si>
    <t>N-PDM</t>
  </si>
  <si>
    <t>Power Distribution Module, 8 Fused Outputs, 2xRelays, 1xDH Output</t>
  </si>
  <si>
    <t>N-PDM — Power Distribution Module, 8 Fused Outputs, 2xRelays, 1xDH Output (FireSense)</t>
  </si>
  <si>
    <t>firesense n-pdm power distribution module, 8 fused outputs, 2xrelays, 1xdh output</t>
  </si>
  <si>
    <t>OWS-CMM-2</t>
  </si>
  <si>
    <t>Custom Message Module c/w PC Connect Audio Cable</t>
  </si>
  <si>
    <t>OWS-CMM-2 — Custom Message Module c/w PC Connect Audio Cable (FireSense)</t>
  </si>
  <si>
    <t>firesense ows-cmm-2 custom message module c/w pc connect audio cable</t>
  </si>
  <si>
    <t>OWS-DA2-120W-KIT</t>
  </si>
  <si>
    <t>120W DA2 OWS - on chassis - no display - no mic</t>
  </si>
  <si>
    <t>OWS-DA2-120W-KIT — 120W DA2 OWS - on chassis - no display - no mic (FireSense)</t>
  </si>
  <si>
    <t>firesense ows-da2-120w-kit 120w da2 ows - on chassis - no display - no mic</t>
  </si>
  <si>
    <t>OWS-DA2-30W-KIT</t>
  </si>
  <si>
    <t>30W DA2 OWS - on chassis - no display - no mic</t>
  </si>
  <si>
    <t>OWS-DA2-30W-KIT — 30W DA2 OWS - on chassis - no display - no mic (FireSense)</t>
  </si>
  <si>
    <t>firesense ows-da2-30w-kit 30w da2 ows - on chassis - no display - no mic</t>
  </si>
  <si>
    <t>OWS-DA2-60W-KIT</t>
  </si>
  <si>
    <t>60W DA2 OWS - on chassis - no display - no mic</t>
  </si>
  <si>
    <t>OWS-DA2-60W-KIT — 60W DA2 OWS - on chassis - no display - no mic (FireSense)</t>
  </si>
  <si>
    <t>firesense ows-da2-60w-kit 60w da2 ows - on chassis - no display - no mic</t>
  </si>
  <si>
    <t>OWS-DA2-MIC</t>
  </si>
  <si>
    <t>DA2 OWS Microphone and Pre-Amp to suit DA2 OWS Kits</t>
  </si>
  <si>
    <t>OWS-DA2-MIC — DA2 OWS Microphone and Pre-Amp to suit DA2 OWS Kits (FireSense)</t>
  </si>
  <si>
    <t>firesense ows-da2-mic da2 ows microphone and pre-amp to suit da2 ows kits</t>
  </si>
  <si>
    <t>OWS-DA2-SAM-4</t>
  </si>
  <si>
    <t>4 Way Speaker Line Card for DA2 OWS Kits ( Required for AS4428.16)</t>
  </si>
  <si>
    <t>OWS-DA2-SAM-4 — 4 Way Speaker Line Card for DA2 OWS Kits ( Required for AS4428.16) (FireSense)</t>
  </si>
  <si>
    <t>firesense ows-da2-sam-4 4 way speaker line card for da2 ows kits ( required for as4428.16)</t>
  </si>
  <si>
    <t>OWS-DISP-MIC-B</t>
  </si>
  <si>
    <t>OWS Display &amp; Microphone Module</t>
  </si>
  <si>
    <t>OWS-DISP-MIC-B — OWS Display &amp; Microphone Module (FireSense)</t>
  </si>
  <si>
    <t>firesense ows-disp-mic-b ows display &amp; microphone module</t>
  </si>
  <si>
    <t>OWS-MIC</t>
  </si>
  <si>
    <t>OWS Hand Held Microphone with Connector Fitted to Suit OWS Kits</t>
  </si>
  <si>
    <t>OWS-MIC — OWS Hand Held Microphone with Connector Fitted to Suit OWS Kits (FireSense)</t>
  </si>
  <si>
    <t>firesense ows-mic ows hand held microphone with connector fitted to suit ows kits</t>
  </si>
  <si>
    <t>OWS-PA-SELECT</t>
  </si>
  <si>
    <t>OWS Microphone PA Selector Switch for upto 4 Zones</t>
  </si>
  <si>
    <t>OWS-PA-SELECT — OWS Microphone PA Selector Switch for upto 4 Zones (FireSense)</t>
  </si>
  <si>
    <t>firesense ows-pa-select ows microphone pa selector switch for upto 4 zones</t>
  </si>
  <si>
    <t>PAG-AUDIO-SWITCH</t>
  </si>
  <si>
    <t>Paging Console 4 Zone Audio Switcher</t>
  </si>
  <si>
    <t>PAG-AUDIO-SWITCH — Paging Console 4 Zone Audio Switcher (FireSense)</t>
  </si>
  <si>
    <t>firesense pag-audio-switch paging console 4 zone audio switcher</t>
  </si>
  <si>
    <t>PAG-CON-A4660</t>
  </si>
  <si>
    <t>Paging Console 7 Inch - A4660</t>
  </si>
  <si>
    <t>PAG-CON-A4660 — Paging Console 7 Inch - A4660 (FireSense)</t>
  </si>
  <si>
    <t>firesense pag-con-a4660 paging console 7 inch - a4660</t>
  </si>
  <si>
    <t>PAG-LINE-OUT</t>
  </si>
  <si>
    <t>Paging Cosole Line Out Box</t>
  </si>
  <si>
    <t>PAG-LINE-OUT — Paging Cosole Line Out Box (FireSense)</t>
  </si>
  <si>
    <t>firesense pag-line-out paging cosole line out box</t>
  </si>
  <si>
    <t>PCB-993</t>
  </si>
  <si>
    <t>Monitored Strobe/Sounder driver card (PCB993F)</t>
  </si>
  <si>
    <t>PCB-993 — Monitored Strobe/Sounder driver card (PCB993F) (FireSense)</t>
  </si>
  <si>
    <t>firesense pcb-993 monitored strobe/sounder driver card (pcb993f)</t>
  </si>
  <si>
    <t>PS-11</t>
  </si>
  <si>
    <t>24Vdc 11.7 amp power supply wideline approved to AS4428.5</t>
  </si>
  <si>
    <t>PS-11 — 24Vdc 11.7 amp power supply wideline approved to AS4428.5 (FireSense)</t>
  </si>
  <si>
    <t>firesense ps-11 24vdc 11.7 amp power supply wideline approved to as4428.5</t>
  </si>
  <si>
    <t>PS-11-BRICK</t>
  </si>
  <si>
    <t>24Vdc 11.7 amp power supply Brick ONLY - No Battery Backup</t>
  </si>
  <si>
    <t>PS-11-BRICK — 24Vdc 11.7 amp power supply Brick ONLY - No Battery Backup (FireSense)</t>
  </si>
  <si>
    <t>firesense ps-11-brick 24vdc 11.7 amp power supply brick only - no battery backup</t>
  </si>
  <si>
    <t>PS-2.5-BB-7240</t>
  </si>
  <si>
    <t>24Vdc 2.5 amp PSU in enclosure - AS7240.4 Approved</t>
  </si>
  <si>
    <t>PS-2.5-BB-7240 — 24Vdc 2.5 amp PSU in enclosure - AS7240.4 Approved (FireSense)</t>
  </si>
  <si>
    <t>firesense ps-2.5-bb-7240 24vdc 2.5 amp psu in enclosure - as7240.4 approved</t>
  </si>
  <si>
    <t>PS-5</t>
  </si>
  <si>
    <t>24Vdc 5.6 amp power supply wideline approved to AS4428.5</t>
  </si>
  <si>
    <t>PS-5 — 24Vdc 5.6 amp power supply wideline approved to AS4428.5 (FireSense)</t>
  </si>
  <si>
    <t>firesense ps-5 24vdc 5.6 amp power supply wideline approved to as4428.5</t>
  </si>
  <si>
    <t>PS-5-BB-7240</t>
  </si>
  <si>
    <t>24Vdc 5.0 amp PSU in enclosure - AS7240.4 Approved</t>
  </si>
  <si>
    <t>PS-5-BB-7240 — 24Vdc 5.0 amp PSU in enclosure - AS7240.4 Approved (FireSense)</t>
  </si>
  <si>
    <t>firesense ps-5-bb-7240 24vdc 5.0 amp psu in enclosure - as7240.4 approved</t>
  </si>
  <si>
    <t>PS-5-BRICK</t>
  </si>
  <si>
    <t>24Vdc 5.6 amp power supply Brick ONLY - No Battery Backup</t>
  </si>
  <si>
    <t>PS-5-BRICK — 24Vdc 5.6 amp power supply Brick ONLY - No Battery Backup (FireSense)</t>
  </si>
  <si>
    <t>firesense ps-5-brick 24vdc 5.6 amp power supply brick only - no battery backup</t>
  </si>
  <si>
    <t>PS-5S</t>
  </si>
  <si>
    <t>24Vdc 5.6 amp power supply slimline approved to AS4428.5</t>
  </si>
  <si>
    <t>PS-5S — 24Vdc 5.6 amp power supply slimline approved to AS4428.5 (FireSense)</t>
  </si>
  <si>
    <t>firesense ps-5s 24vdc 5.6 amp power supply slimline approved to as4428.5</t>
  </si>
  <si>
    <t>SOLO727-001</t>
  </si>
  <si>
    <t>SOLO 727-001 Testifire Fast Charger for SOLO770 Battery</t>
  </si>
  <si>
    <t>SOLO727-001 — SOLO 727-001 Testifire Fast Charger for SOLO770 Battery (FireSense)</t>
  </si>
  <si>
    <t>firesense solo727-001 solo 727-001 testifire fast charger for solo770 battery</t>
  </si>
  <si>
    <t>SP-1600-CPU</t>
  </si>
  <si>
    <t>FS-1600 - CPU-Termination Board</t>
  </si>
  <si>
    <t>SP-1600-CPU — FS-1600 - CPU-Termination Board (FireSense)</t>
  </si>
  <si>
    <t>firesense sp-1600-cpu fs-1600 - cpu-termination board</t>
  </si>
  <si>
    <t>SP-1600-KEY</t>
  </si>
  <si>
    <t>FS-1600 - Keypad and Display</t>
  </si>
  <si>
    <t>SP-1600-KEY — FS-1600 - Keypad and Display (FireSense)</t>
  </si>
  <si>
    <t>firesense sp-1600-key fs-1600 - keypad and display</t>
  </si>
  <si>
    <t>SP-1600-PS-5</t>
  </si>
  <si>
    <t>FS-1600 - PS-5 Replacement</t>
  </si>
  <si>
    <t>SP-1600-PS-5 — FS-1600 - PS-5 Replacement (FireSense)</t>
  </si>
  <si>
    <t>firesense sp-1600-ps-5 fs-1600 - ps-5 replacement</t>
  </si>
  <si>
    <t>SP-BATT-BR2330</t>
  </si>
  <si>
    <t>BR-2330 Replacement Button Cell Battery for 1600 and 3030 CPU</t>
  </si>
  <si>
    <t>SP-BATT-BR2330 — BR-2330 Replacement Button Cell Battery for 1600 and 3030 CPU (FireSense)</t>
  </si>
  <si>
    <t>firesense sp-batt-br2330 br-2330 replacement button cell battery for 1600 and 3030 cpu</t>
  </si>
  <si>
    <t>SP-PSI-KIT</t>
  </si>
  <si>
    <t>PSI Board Kit to suit 2800 Termination Board</t>
  </si>
  <si>
    <t>SP-PSI-KIT — PSI Board Kit to suit 2800 Termination Board (FireSense)</t>
  </si>
  <si>
    <t>firesense sp-psi-kit psi board kit to suit 2800 termination board</t>
  </si>
  <si>
    <t>SSF-FMM-4-20</t>
  </si>
  <si>
    <t>FMM-4-20 - 4-20mA Interface module</t>
  </si>
  <si>
    <t>SSF-FMM-4-20 — FMM-4-20 - 4-20mA Interface module (FireSense)</t>
  </si>
  <si>
    <t>firesense ssf-fmm-4-20 fmm-4-20 - 4-20ma interface module</t>
  </si>
  <si>
    <t>VESDA-HLI-GW</t>
  </si>
  <si>
    <t>2800 Gateway VesdaNET HLI - Req VHX-1420-HFS NCM &amp; VRT-S07</t>
  </si>
  <si>
    <t>VESDA-HLI-GW — 2800 Gateway VesdaNET HLI - Req VHX-1420-HFS NCM &amp; VRT-S07 (FireSense)</t>
  </si>
  <si>
    <t>firesense vesda-hli-gw 2800 gateway vesdanet hli - req vhx-1420-hfs ncm &amp; vrt-s07</t>
  </si>
  <si>
    <t>ZC-100LHXKS</t>
  </si>
  <si>
    <t>Zonecheck - Left to Right Flow - 100mm - Including FlowSwitch</t>
  </si>
  <si>
    <t>ZC-100LHXKS — Zonecheck - Left to Right Flow - 100mm - Including FlowSwitch (FireSense)</t>
  </si>
  <si>
    <t>firesense zc-100lhxks zonecheck - left to right flow - 100mm - including flowswitch</t>
  </si>
  <si>
    <t>ZC-100RHXKS</t>
  </si>
  <si>
    <t>Zonecheck - Right to Left Flow - 100mm - Including FlowSwitch</t>
  </si>
  <si>
    <t>ZC-100RHXKS — Zonecheck - Right to Left Flow - 100mm - Including FlowSwitch (FireSense)</t>
  </si>
  <si>
    <t>firesense zc-100rhxks zonecheck - right to left flow - 100mm - including flowswitch</t>
  </si>
  <si>
    <t>ZC-150LHXKS</t>
  </si>
  <si>
    <t>Zonecheck - Left to Right Flow - 150mm - Including FlowSwitch</t>
  </si>
  <si>
    <t>ZC-150LHXKS — Zonecheck - Left to Right Flow - 150mm - Including FlowSwitch (FireSense)</t>
  </si>
  <si>
    <t>firesense zc-150lhxks zonecheck - left to right flow - 150mm - including flowswitch</t>
  </si>
  <si>
    <t>ZC-150RHXKS</t>
  </si>
  <si>
    <t>Zonecheck - Right to Left Flow - 150mm - Including FlowSwitch</t>
  </si>
  <si>
    <t>ZC-150RHXKS — Zonecheck - Right to Left Flow - 150mm - Including FlowSwitch (FireSense)</t>
  </si>
  <si>
    <t>firesense zc-150rhxks zonecheck - right to left flow - 150mm - including flowswitch</t>
  </si>
  <si>
    <t>ZC-50LHXKS</t>
  </si>
  <si>
    <t>Zonecheck - Left to Right Flow- 50mm - Including FlowSwitch</t>
  </si>
  <si>
    <t>ZC-50LHXKS — Zonecheck - Left to Right Flow- 50mm - Including FlowSwitch (FireSense)</t>
  </si>
  <si>
    <t>firesense zc-50lhxks zonecheck - left to right flow- 50mm - including flowswitch</t>
  </si>
  <si>
    <t>ZC-50RHXKS</t>
  </si>
  <si>
    <t>Zonecheck - Right to Left Flow - 50mm - Including FlowSwitch</t>
  </si>
  <si>
    <t>ZC-50RHXKS — Zonecheck - Right to Left Flow - 50mm - Including FlowSwitch (FireSense)</t>
  </si>
  <si>
    <t>firesense zc-50rhxks zonecheck - right to left flow - 50mm - including flowswitch</t>
  </si>
  <si>
    <t>ZC-65LHXKS</t>
  </si>
  <si>
    <t>Zonecheck - Left to Right Flow- 65mm - Including FlowSwitch</t>
  </si>
  <si>
    <t>ZC-65LHXKS — Zonecheck - Left to Right Flow- 65mm - Including FlowSwitch (FireSense)</t>
  </si>
  <si>
    <t>firesense zc-65lhxks zonecheck - left to right flow- 65mm - including flowswitch</t>
  </si>
  <si>
    <t>ZC-65RHXKS</t>
  </si>
  <si>
    <t>Zonecheck - Right to Left Flow - 65mm - Including FlowSwitch</t>
  </si>
  <si>
    <t>ZC-65RHXKS — Zonecheck - Right to Left Flow - 65mm - Including FlowSwitch (FireSense)</t>
  </si>
  <si>
    <t>firesense zc-65rhxks zonecheck - right to left flow - 65mm - including flowswitch</t>
  </si>
  <si>
    <t>ZC-80LHXKS</t>
  </si>
  <si>
    <t>Zonecheck - Left to Right Flow - 80mm - Including FlowSwitch</t>
  </si>
  <si>
    <t>ZC-80LHXKS — Zonecheck - Left to Right Flow - 80mm - Including FlowSwitch (FireSense)</t>
  </si>
  <si>
    <t>firesense zc-80lhxks zonecheck - left to right flow - 80mm - including flowswitch</t>
  </si>
  <si>
    <t>ZC-80RHXKS</t>
  </si>
  <si>
    <t>Zonecheck - Right to Left Flow - 80mm - Including FlowSwitch</t>
  </si>
  <si>
    <t>ZC-80RHXKS — Zonecheck - Right to Left Flow - 80mm - Including FlowSwitch (FireSense)</t>
  </si>
  <si>
    <t>firesense zc-80rhxks zonecheck - right to left flow - 80mm - including flowswitch</t>
  </si>
  <si>
    <t>ZC-KYSE</t>
  </si>
  <si>
    <t>Zonecheck Keyswitch</t>
  </si>
  <si>
    <t>ZC-KYSE — Zonecheck Keyswitch (FireSense)</t>
  </si>
  <si>
    <t>firesense zc-kyse zonecheck keyswitch</t>
  </si>
  <si>
    <t>TPS-1.50-2CT-200</t>
  </si>
  <si>
    <t>FireSense TPS Cable - 1.50mm - 2 Core Twisted - 200m Roll</t>
  </si>
  <si>
    <t>TPS-1.50-2CT-200 — FireSense TPS Cable - 1.50mm - 2 Core Twisted - 200m Roll (FireSense)</t>
  </si>
  <si>
    <t>firesense tps-1.50-2ct-200 firesense tps cable - 1.50mm - 2 core twisted - 200m roll</t>
  </si>
  <si>
    <t>TPS-1.50-2CT-500</t>
  </si>
  <si>
    <t>FireSense TPS Cable - 1.50mm - 2 Core Twisted - 500m Roll</t>
  </si>
  <si>
    <t>TPS-1.50-2CT-500 — FireSense TPS Cable - 1.50mm - 2 Core Twisted - 500m Roll (FireSense)</t>
  </si>
  <si>
    <t>firesense tps-1.50-2ct-500 firesense tps cable - 1.50mm - 2 core twisted - 500m roll</t>
  </si>
  <si>
    <t>TPS-1.50-2CTS-200</t>
  </si>
  <si>
    <t>FireSense TPS Cable - 1.50mm - 2 Core Twisted Screened- 200m Roll</t>
  </si>
  <si>
    <t>TPS-1.50-2CTS-200 — FireSense TPS Cable - 1.50mm - 2 Core Twisted Screened- 200m Roll (FireSense)</t>
  </si>
  <si>
    <t>firesense tps-1.50-2cts-200 firesense tps cable - 1.50mm - 2 core twisted screened- 200m roll</t>
  </si>
  <si>
    <t>TPS-1.50-2CTS-500</t>
  </si>
  <si>
    <t>FireSense TPS Cable - 1.50mm - 2 Core Twisted Screened- 500m Roll</t>
  </si>
  <si>
    <t>TPS-1.50-2CTS-500 — FireSense TPS Cable - 1.50mm - 2 Core Twisted Screened- 500m Roll (FireSense)</t>
  </si>
  <si>
    <t>firesense tps-1.50-2cts-500 firesense tps cable - 1.50mm - 2 core twisted screened- 500m roll</t>
  </si>
  <si>
    <t>TPSHF-1.50-2C-500</t>
  </si>
  <si>
    <t>FireSense TPSHF Cable - 1.50mm - 2 Core Flat - Halogen Free - 500m Roll</t>
  </si>
  <si>
    <t>TPSHF-1.50-2C-500 — FireSense TPSHF Cable - 1.50mm - 2 Core Flat - Halogen Free - 500m Roll (FireSense)</t>
  </si>
  <si>
    <t>firesense tpshf-1.50-2c-500 firesense tpshf cable - 1.50mm - 2 core flat - halogen free - 500m roll</t>
  </si>
  <si>
    <t>TPSHF-1.50-2CT-500</t>
  </si>
  <si>
    <t>FireSense TPSHF Cable - 1.50mm - 2 Core Twisted - Halogen Free - 500m Roll</t>
  </si>
  <si>
    <t>TPSHF-1.50-2CT-500 — FireSense TPSHF Cable - 1.50mm - 2 Core Twisted - Halogen Free - 500m Roll (FireSense)</t>
  </si>
  <si>
    <t>firesense tpshf-1.50-2ct-500 firesense tpshf cable - 1.50mm - 2 core twisted - halogen free - 500m roll</t>
  </si>
  <si>
    <t>TPSHF-1.50-2CW-500</t>
  </si>
  <si>
    <t>FireSense TPSHF Cable - 1.50mm - 2 Core Flat - White Stripe - Halogen Free - 500m Roll</t>
  </si>
  <si>
    <t>TPSHF-1.50-2CW-500 — FireSense TPSHF Cable - 1.50mm - 2 Core Flat - White Stripe - Halogen Free - 500m Roll (FireSense)</t>
  </si>
  <si>
    <t>firesense tpshf-1.50-2cw-500 firesense tpshf cable - 1.50mm - 2 core flat - white stripe - halogen free - 500m roll</t>
  </si>
  <si>
    <t>TPSLD-0.75-2CW-200</t>
  </si>
  <si>
    <t>FireSense TPSLD Cable - 0.75mm - 2 Core Flat - White Stripe - 200m Roll</t>
  </si>
  <si>
    <t>TPSLD-0.75-2CW-200 — FireSense TPSLD Cable - 0.75mm - 2 Core Flat - White Stripe - 200m Roll (FireSense)</t>
  </si>
  <si>
    <t>firesense tpsld-0.75-2cw-200 firesense tpsld cable - 0.75mm - 2 core flat - white stripe - 200m roll</t>
  </si>
  <si>
    <t>TPSLD-0.75-2CW-500</t>
  </si>
  <si>
    <t>FireSense TPSLD Cable - 0.75mm - 2 Core Flat - White Stripe - 500m Roll</t>
  </si>
  <si>
    <t>TPSLD-0.75-2CW-500 — FireSense TPSLD Cable - 0.75mm - 2 Core Flat - White Stripe - 500m Roll (FireSense)</t>
  </si>
  <si>
    <t>firesense tpsld-0.75-2cw-500 firesense tpsld cable - 0.75mm - 2 core flat - white stripe - 500m roll</t>
  </si>
  <si>
    <t>TPSLD-1.00-2CW-200</t>
  </si>
  <si>
    <t>FireSense TPSLD Cable - 1.00mm - 2 Core Flat - White Stripe - 200m Roll</t>
  </si>
  <si>
    <t>TPSLD-1.00-2CW-200 — FireSense TPSLD Cable - 1.00mm - 2 Core Flat - White Stripe - 200m Roll (FireSense)</t>
  </si>
  <si>
    <t>firesense tpsld-1.00-2cw-200 firesense tpsld cable - 1.00mm - 2 core flat - white stripe - 200m roll</t>
  </si>
  <si>
    <t>TPSLD-1.00-2CW-500</t>
  </si>
  <si>
    <t>FireSense TPSLD Cable - 1.00mm - 2 Core Flat - White Stripe - 500m Roll</t>
  </si>
  <si>
    <t>TPSLD-1.00-2CW-500 — FireSense TPSLD Cable - 1.00mm - 2 Core Flat - White Stripe - 500m Roll (FireSense)</t>
  </si>
  <si>
    <t>firesense tpsld-1.00-2cw-500 firesense tpsld cable - 1.00mm - 2 core flat - white stripe - 500m roll</t>
  </si>
  <si>
    <t>TPSLD-1.50-2C-200</t>
  </si>
  <si>
    <t>FireSense TPSLD Cable - 1.50mm - 2 Core Flat - 200m Roll</t>
  </si>
  <si>
    <t>TPSLD-1.50-2C-200 — FireSense TPSLD Cable - 1.50mm - 2 Core Flat - 200m Roll (FireSense)</t>
  </si>
  <si>
    <t>firesense tpsld-1.50-2c-200 firesense tpsld cable - 1.50mm - 2 core flat - 200m roll</t>
  </si>
  <si>
    <t>TPSLD-1.50-2C-500</t>
  </si>
  <si>
    <t>FireSense TPSLD Cable - 1.50mm - 2 Core Flat - 500m Roll</t>
  </si>
  <si>
    <t>TPSLD-1.50-2C-500 — FireSense TPSLD Cable - 1.50mm - 2 Core Flat - 500m Roll (FireSense)</t>
  </si>
  <si>
    <t>firesense tpsld-1.50-2c-500 firesense tpsld cable - 1.50mm - 2 core flat - 500m roll</t>
  </si>
  <si>
    <t>TPSLD-1.50-2CW-200</t>
  </si>
  <si>
    <t>FireSense TPSLD Cable - 1.50mm - 2 Core Flat - White Stripe - 200m Roll</t>
  </si>
  <si>
    <t>TPSLD-1.50-2CW-200 — FireSense TPSLD Cable - 1.50mm - 2 Core Flat - White Stripe - 200m Roll (FireSense)</t>
  </si>
  <si>
    <t>firesense tpsld-1.50-2cw-200 firesense tpsld cable - 1.50mm - 2 core flat - white stripe - 200m roll</t>
  </si>
  <si>
    <t>TPSLD-1.50-2CW-500</t>
  </si>
  <si>
    <t>FireSense TPSLD Cable - 1.50mm - 2 Core Flat - White Stripe - 500m Roll</t>
  </si>
  <si>
    <t>TPSLD-1.50-2CW-500 — FireSense TPSLD Cable - 1.50mm - 2 Core Flat - White Stripe - 500m Roll (FireSense)</t>
  </si>
  <si>
    <t>firesense tpsld-1.50-2cw-500 firesense tpsld cable - 1.50mm - 2 core flat - white stripe - 500m roll</t>
  </si>
  <si>
    <t>E700-CSC</t>
  </si>
  <si>
    <t>E700-CSC - Sampling Connector for Capillary tubes</t>
  </si>
  <si>
    <t>E700-CSC — E700-CSC - Sampling Connector for Capillary tubes (FireSense)</t>
  </si>
  <si>
    <t>firesense e700-csc e700-csc - sampling connector for capillary tubes</t>
  </si>
  <si>
    <t>E700-CT-RED</t>
  </si>
  <si>
    <t>E700-CT - Capillary tube 5.2mm ID 8mm OD - RED  - PER METRE</t>
  </si>
  <si>
    <t>E700-CT-RED — E700-CT - Capillary tube 5.2mm ID 8mm OD - RED  - PER METRE (FireSense)</t>
  </si>
  <si>
    <t>firesense e700-ct-red e700-ct - capillary tube 5.2mm id 8mm od - red  - per metre</t>
  </si>
  <si>
    <t>E700-EC</t>
  </si>
  <si>
    <t>E700-EC - End Cap</t>
  </si>
  <si>
    <t>E700-EC — E700-EC - End Cap (FireSense)</t>
  </si>
  <si>
    <t>firesense e700-ec e700-ec - end cap</t>
  </si>
  <si>
    <t>E700-LB</t>
  </si>
  <si>
    <t>E700-LB - Large Radius Bend (150mm)</t>
  </si>
  <si>
    <t>E700-LB — E700-LB - Large Radius Bend (150mm) (FireSense)</t>
  </si>
  <si>
    <t>firesense e700-lb e700-lb - large radius bend (150mm)</t>
  </si>
  <si>
    <t>E700-P</t>
  </si>
  <si>
    <t>E700-P - VESDA pipe per 4 metre length</t>
  </si>
  <si>
    <t>E700-P — E700-P - VESDA pipe per 4 metre length (FireSense)</t>
  </si>
  <si>
    <t>firesense e700-p e700-p - vesda pipe per 4 metre length</t>
  </si>
  <si>
    <t>E700-PC</t>
  </si>
  <si>
    <t>E700-PC - Pipe Clip single point fix</t>
  </si>
  <si>
    <t>E700-PC — E700-PC - Pipe Clip single point fix (FireSense)</t>
  </si>
  <si>
    <t>firesense e700-pc e700-pc - pipe clip single point fix</t>
  </si>
  <si>
    <t>E700-PJ</t>
  </si>
  <si>
    <t>E700-PJ - Pipe Junction fitting</t>
  </si>
  <si>
    <t>E700-PJ — E700-PJ - Pipe Junction fitting (FireSense)</t>
  </si>
  <si>
    <t>firesense e700-pj e700-pj - pipe junction fitting</t>
  </si>
  <si>
    <t>E700-SB</t>
  </si>
  <si>
    <t>E700-SB - Small Radius Bend (90mm)</t>
  </si>
  <si>
    <t>E700-SB — E700-SB - Small Radius Bend (90mm) (FireSense)</t>
  </si>
  <si>
    <t>firesense e700-sb e700-sb - small radius bend (90mm)</t>
  </si>
  <si>
    <t>E700-SP</t>
  </si>
  <si>
    <t>E700-SP - Sampling Point for Capillary tube end</t>
  </si>
  <si>
    <t>E700-SP — E700-SP - Sampling Point for Capillary tube end (FireSense)</t>
  </si>
  <si>
    <t>firesense e700-sp e700-sp - sampling point for capillary tube end</t>
  </si>
  <si>
    <t>E700-SP-DCL</t>
  </si>
  <si>
    <t>E700-SP-DCL - Sampling point decal (200 per roll)</t>
  </si>
  <si>
    <t>E700-SP-DCL — E700-SP-DCL - Sampling point decal (200 per roll) (FireSense)</t>
  </si>
  <si>
    <t>firesense e700-sp-dcl e700-sp-dcl - sampling point decal (200 per roll)</t>
  </si>
  <si>
    <t>E700-SPLG</t>
  </si>
  <si>
    <t>E700-SPLG Sampling Point Label Grey</t>
  </si>
  <si>
    <t>E700-SPLG — E700-SPLG Sampling Point Label Grey (FireSense)</t>
  </si>
  <si>
    <t>firesense e700-splg e700-splg sampling point label grey</t>
  </si>
  <si>
    <t>E700-SPLR</t>
  </si>
  <si>
    <t>E700-SPLR - Sampling point label RED (ea)</t>
  </si>
  <si>
    <t>E700-SPLR — E700-SPLR - Sampling point label RED (ea) (FireSense)</t>
  </si>
  <si>
    <t>firesense e700-splr e700-splr - sampling point label red (ea)</t>
  </si>
  <si>
    <t>E700-T</t>
  </si>
  <si>
    <t>E700-T - Pipe 25mm Tee Junction</t>
  </si>
  <si>
    <t>E700-T — E700-T - Pipe 25mm Tee Junction (FireSense)</t>
  </si>
  <si>
    <t>firesense e700-t e700-t - pipe 25mm tee junction</t>
  </si>
  <si>
    <t>E700-TA</t>
  </si>
  <si>
    <t>E700-TA - Trunk Adaptor for Capillary tubes</t>
  </si>
  <si>
    <t>E700-TA — E700-TA - Trunk Adaptor for Capillary tubes (FireSense)</t>
  </si>
  <si>
    <t>firesense e700-ta e700-ta - trunk adaptor for capillary tubes</t>
  </si>
  <si>
    <t>V-FLX-010</t>
  </si>
  <si>
    <t>FLX-010 FAAST Flex 1-pipe Stand-alone</t>
  </si>
  <si>
    <t>V-FLX-010 — FLX-010 FAAST Flex 1-pipe Stand-alone (FireSense)</t>
  </si>
  <si>
    <t>firesense v-flx-010 flx-010 faast flex 1-pipe stand-alone</t>
  </si>
  <si>
    <t>V-FLX-020</t>
  </si>
  <si>
    <t>FLX-020 FAAST Flex 2-pipe Stand-alone</t>
  </si>
  <si>
    <t>V-FLX-020 — FLX-020 FAAST Flex 2-pipe Stand-alone (FireSense)</t>
  </si>
  <si>
    <t>firesense v-flx-020 flx-020 faast flex 2-pipe stand-alone</t>
  </si>
  <si>
    <t>V-FLX-SP-01</t>
  </si>
  <si>
    <t>FLX-SP-01 - FAAST Flex Sensing Module</t>
  </si>
  <si>
    <t>V-FLX-SP-01 — FLX-SP-01 - FAAST Flex Sensing Module (FireSense)</t>
  </si>
  <si>
    <t>firesense v-flx-sp-01 flx-sp-01 - faast flex sensing module</t>
  </si>
  <si>
    <t>V-FLX-SP-02</t>
  </si>
  <si>
    <t>FLX-SP-02 - FAAST Flex Metal Filter (pack of 6)</t>
  </si>
  <si>
    <t>V-FLX-SP-02 — FLX-SP-02 - FAAST Flex Metal Filter (pack of 6) (FireSense)</t>
  </si>
  <si>
    <t>firesense v-flx-sp-02 flx-sp-02 - faast flex metal filter (pack of 6)</t>
  </si>
  <si>
    <t>V-FLX-SP-03-EN</t>
  </si>
  <si>
    <t>FLX-SP-03-EN - FAAST Flex Front Cover (EN)</t>
  </si>
  <si>
    <t>V-FLX-SP-03-EN — FLX-SP-03-EN - FAAST Flex Front Cover (EN) (FireSense)</t>
  </si>
  <si>
    <t>firesense v-flx-sp-03-en flx-sp-03-en - faast flex front cover (en)</t>
  </si>
  <si>
    <t>V-FLX-SP-05-EN</t>
  </si>
  <si>
    <t>FLX-SP-05-EN - FAAST Flex Internal Cover Set (EN)</t>
  </si>
  <si>
    <t>V-FLX-SP-05-EN — FLX-SP-05-EN - FAAST Flex Internal Cover Set (EN) (FireSense)</t>
  </si>
  <si>
    <t>firesense v-flx-sp-05-en flx-sp-05-en - faast flex internal cover set (en)</t>
  </si>
  <si>
    <t>V-FLX-SP-06</t>
  </si>
  <si>
    <t>FLX-SP-06 - FAAST Flex Adapter Set</t>
  </si>
  <si>
    <t>V-FLX-SP-06 — FLX-SP-06 - FAAST Flex Adapter Set (FireSense)</t>
  </si>
  <si>
    <t>firesense v-flx-sp-06 flx-sp-06 - faast flex adapter set</t>
  </si>
  <si>
    <t>VEA-040-A00</t>
  </si>
  <si>
    <t>VESDA-E - VEA-40 Det - with LEDs</t>
  </si>
  <si>
    <t>VEA-040-A00 — VESDA-E - VEA-40 Det - with LEDs (FireSense)</t>
  </si>
  <si>
    <t>firesense vea-040-a00 vesda-e - vea-40 det - with leds</t>
  </si>
  <si>
    <t>VEA-040-A10</t>
  </si>
  <si>
    <t>VESDA-E - VEA-40 Det - with 3.5 Inch Display</t>
  </si>
  <si>
    <t>VEA-040-A10 — VESDA-E - VEA-40 Det - with 3.5 Inch Display (FireSense)</t>
  </si>
  <si>
    <t>firesense vea-040-a10 vesda-e - vea-40 det - with 3.5 inch display</t>
  </si>
  <si>
    <t>VESDA-E - VEP - SINGLE PIPE  with LEDs - Plastic Enclosure</t>
  </si>
  <si>
    <t>VEP-A00-1P — VESDA-E - VEP - SINGLE PIPE  with LEDs - Plastic Enclosure (FireSense)</t>
  </si>
  <si>
    <t>firesense vep-a00-1p vesda-e - vep - single pipe  with leds - plastic enclosure</t>
  </si>
  <si>
    <t>VEP-A00P</t>
  </si>
  <si>
    <t>VESDA-E - VEP - 4 PIPE  with LEDs - Plastic Enclosure</t>
  </si>
  <si>
    <t>VEP-A00P — VESDA-E - VEP - 4 PIPE  with LEDs - Plastic Enclosure (FireSense)</t>
  </si>
  <si>
    <t>firesense vep-a00p vesda-e - vep - 4 pipe  with leds - plastic enclosure</t>
  </si>
  <si>
    <t>VESDA-E - VEP - 4 PIPE - 3.5inch Display - Plastic Enclosure</t>
  </si>
  <si>
    <t>VEP-A10-P — VESDA-E - VEP - 4 PIPE - 3.5inch Display - Plastic Enclosure (FireSense)</t>
  </si>
  <si>
    <t>firesense vep-a10-p vesda-e - vep - 4 pipe - 3.5inch display - plastic enclosure</t>
  </si>
  <si>
    <t>VESDA-E - VES - with LEDs - Plastic Enclosure</t>
  </si>
  <si>
    <t>VES-A00-P — VESDA-E - VES - with LEDs - Plastic Enclosure (FireSense)</t>
  </si>
  <si>
    <t>firesense ves-a00-p vesda-e - ves - with leds - plastic enclosure</t>
  </si>
  <si>
    <t>VESDA-E - VES - 3.5inch Display - Plastic Enclosure</t>
  </si>
  <si>
    <t>VES-A10-P — VESDA-E - VES - 3.5inch Display - Plastic Enclosure (FireSense)</t>
  </si>
  <si>
    <t>firesense ves-a10-p vesda-e - ves - 3.5inch display - plastic enclosure</t>
  </si>
  <si>
    <t>VESDA-E - VEU - with LEDs - Aluminium Enclosure</t>
  </si>
  <si>
    <t>VEU-A00 — VESDA-E - VEU - with LEDs - Aluminium Enclosure (FireSense)</t>
  </si>
  <si>
    <t>firesense veu-a00 vesda-e - veu - with leds - aluminium enclosure</t>
  </si>
  <si>
    <t>VESDA-E - VEU - with 3.5 Inch Display - Aluminium Enclosure</t>
  </si>
  <si>
    <t>VEU-A10 — VESDA-E - VEU - with 3.5 Inch Display - Aluminium Enclosure (FireSense)</t>
  </si>
  <si>
    <t>firesense veu-a10 vesda-e - veu - with 3.5 inch display - aluminium enclosure</t>
  </si>
  <si>
    <t>VHH-100</t>
  </si>
  <si>
    <t>VHH-100 - Hand Held Programmer + cable</t>
  </si>
  <si>
    <t>VHH-100 — VHH-100 - Hand Held Programmer + cable (FireSense)</t>
  </si>
  <si>
    <t>firesense vhh-100 vhh-100 - hand held programmer + cable</t>
  </si>
  <si>
    <t>VHX-0200 - HLI - Vesdanet PC Link Windows, Used with VSM4</t>
  </si>
  <si>
    <t>VHX-0200 — VHX-0200 - HLI - Vesdanet PC Link Windows, Used with VSM4 (FireSense)</t>
  </si>
  <si>
    <t>firesense vhx-0200 vhx-0200 - hli - vesdanet pc link windows, used with vsm4</t>
  </si>
  <si>
    <t>VHX-1200</t>
  </si>
  <si>
    <t>VHX-1200 - Wall Mounted HLI and PC Link</t>
  </si>
  <si>
    <t>VHX-1200 — VHX-1200 - Wall Mounted HLI and PC Link (FireSense)</t>
  </si>
  <si>
    <t>firesense vhx-1200 vhx-1200 - wall mounted hli and pc link</t>
  </si>
  <si>
    <t>VHX-1420-HFS</t>
  </si>
  <si>
    <t>Vesda VHX-1420-HFS Modbus HLI to suit VESDA-HLI-GW</t>
  </si>
  <si>
    <t>VHX-1420-HFS — Vesda VHX-1420-HFS Modbus HLI to suit VESDA-HLI-GW (FireSense)</t>
  </si>
  <si>
    <t>firesense vhx-1420-hfs vesda vhx-1420-hfs modbus hli to suit vesda-hli-gw</t>
  </si>
  <si>
    <t>VIC-010 VESDANet Interface (VN) card</t>
  </si>
  <si>
    <t>VIC-010 — VIC-010 VESDANet Interface (VN) card (FireSense)</t>
  </si>
  <si>
    <t>firesense vic-010 vic-010 vesdanet interface (vn) card</t>
  </si>
  <si>
    <t>VIC-020 Expansion card with relays</t>
  </si>
  <si>
    <t>VIC-020 — VIC-020 Expansion card with relays (FireSense)</t>
  </si>
  <si>
    <t>firesense vic-020 vic-020 expansion card with relays</t>
  </si>
  <si>
    <t>VLF-250-02 - VESDA LaserFOCUS 250  (25m of pipe or 250m2)</t>
  </si>
  <si>
    <t>VLF-250-02 — VLF-250-02 - VESDA LaserFOCUS 250  (25m of pipe or 250m2) (FireSense)</t>
  </si>
  <si>
    <t>firesense vlf-250-02 vlf-250-02 - vesda laserfocus 250  (25m of pipe or 250m2)</t>
  </si>
  <si>
    <t>VLF-500-02 - VESDA LaserFOCUS 500 (50m of pipe or 500m2)</t>
  </si>
  <si>
    <t>VLF-500-02 — VLF-500-02 - VESDA LaserFOCUS 500 (50m of pipe or 500m2) (FireSense)</t>
  </si>
  <si>
    <t>firesense vlf-500-02 vlf-500-02 - vesda laserfocus 500 (50m of pipe or 500m2)</t>
  </si>
  <si>
    <t>VLI-880 - Vesda VLI with Relays and Ethernet only</t>
  </si>
  <si>
    <t>VLI-880 — VLI-880 - Vesda VLI with Relays and Ethernet only (FireSense)</t>
  </si>
  <si>
    <t>firesense vli-880 vli-880 - vesda vli with relays and ethernet only</t>
  </si>
  <si>
    <t>VLI-885 - Vesda VLI with Vesdanet</t>
  </si>
  <si>
    <t>VLI-885 — VLI-885 - Vesda VLI with Vesdanet (FireSense)</t>
  </si>
  <si>
    <t>firesense vli-885 vli-885 - vesda vli with vesdanet</t>
  </si>
  <si>
    <t>VRT-000</t>
  </si>
  <si>
    <t>VRT-000 - Remote box with escutcheon only no blank plate</t>
  </si>
  <si>
    <t>VRT-000 — VRT-000 - Remote box with escutcheon only no blank plate (FireSense)</t>
  </si>
  <si>
    <t>firesense vrt-000 vrt-000 - remote box with escutcheon only no blank plate</t>
  </si>
  <si>
    <t>VRT-100</t>
  </si>
  <si>
    <t>VRT-100 - Remote box fitted with Programmer</t>
  </si>
  <si>
    <t>VRT-100 — VRT-100 - Remote box fitted with Programmer (FireSense)</t>
  </si>
  <si>
    <t>firesense vrt-100 vrt-100 - remote box fitted with programmer</t>
  </si>
  <si>
    <t>VRT-200</t>
  </si>
  <si>
    <t>VRT-200 - Remote box fitted with VLP Display and 7 Relays</t>
  </si>
  <si>
    <t>VRT-200 — VRT-200 - Remote box fitted with VLP Display and 7 Relays (FireSense)</t>
  </si>
  <si>
    <t>firesense vrt-200 vrt-200 - remote box fitted with vlp display and 7 relays</t>
  </si>
  <si>
    <t>VRT-300</t>
  </si>
  <si>
    <t>VRT-300 - Remote box fitted with Vesdanet Socket</t>
  </si>
  <si>
    <t>VRT-300 — VRT-300 - Remote box fitted with Vesdanet Socket (FireSense)</t>
  </si>
  <si>
    <t>firesense vrt-300 vrt-300 - remote box fitted with vesdanet socket</t>
  </si>
  <si>
    <t>VRT-400</t>
  </si>
  <si>
    <t>VRT-400 - Remote box fitted with Scanner Display and 7 Relays</t>
  </si>
  <si>
    <t>VRT-400 — VRT-400 - Remote box fitted with Scanner Display and 7 Relays (FireSense)</t>
  </si>
  <si>
    <t>firesense vrt-400 vrt-400 - remote box fitted with scanner display and 7 relays</t>
  </si>
  <si>
    <t>VRT-500</t>
  </si>
  <si>
    <t>VRT-500 - Remote box fitted with blank plate DRP and 7 Relays</t>
  </si>
  <si>
    <t>VRT-500 — VRT-500 - Remote box fitted with blank plate DRP and 7 Relays (FireSense)</t>
  </si>
  <si>
    <t>firesense vrt-500 vrt-500 - remote box fitted with blank plate drp and 7 relays</t>
  </si>
  <si>
    <t>VRT-600</t>
  </si>
  <si>
    <t>VRT-600 - Remote box fitted with Display no Relays</t>
  </si>
  <si>
    <t>VRT-600 — VRT-600 - Remote box fitted with Display no Relays (FireSense)</t>
  </si>
  <si>
    <t>firesense vrt-600 vrt-600 - remote box fitted with display no relays</t>
  </si>
  <si>
    <t>VRT-700</t>
  </si>
  <si>
    <t>VRT-700 - Remote box fitted with Scanner Display no Relays</t>
  </si>
  <si>
    <t>VRT-700 — VRT-700 - Remote box fitted with Scanner Display no Relays (FireSense)</t>
  </si>
  <si>
    <t>firesense vrt-700 vrt-700 - remote box fitted with scanner display no relays</t>
  </si>
  <si>
    <t>VRT-800</t>
  </si>
  <si>
    <t>VRT-800 - Remote box fitted with Scanner Display and 12 Relays</t>
  </si>
  <si>
    <t>VRT-800 — VRT-800 - Remote box fitted with Scanner Display and 12 Relays (FireSense)</t>
  </si>
  <si>
    <t>firesense vrt-800 vrt-800 - remote box fitted with scanner display and 12 relays</t>
  </si>
  <si>
    <t>VRT-S07</t>
  </si>
  <si>
    <t>VRT-S07 - System Relay Module</t>
  </si>
  <si>
    <t>VRT-S07 — VRT-S07 - System Relay Module (FireSense)</t>
  </si>
  <si>
    <t>firesense vrt-s07 vrt-s07 - system relay module</t>
  </si>
  <si>
    <t>VRT-V00</t>
  </si>
  <si>
    <t>VRT-V00 - Remote box fitted with Focus Display and 7 Relays</t>
  </si>
  <si>
    <t>VRT-V00 — VRT-V00 - Remote box fitted with Focus Display and 7 Relays (FireSense)</t>
  </si>
  <si>
    <t>firesense vrt-v00 vrt-v00 - remote box fitted with focus display and 7 relays</t>
  </si>
  <si>
    <t>VSP-000</t>
  </si>
  <si>
    <t>VSP-000 Blank Plate</t>
  </si>
  <si>
    <t>VSP-000 — VSP-000 Blank Plate (FireSense)</t>
  </si>
  <si>
    <t>firesense vsp-000 vsp-000 blank plate</t>
  </si>
  <si>
    <t>VSP-001</t>
  </si>
  <si>
    <t>VSP-001 - Programmer Module</t>
  </si>
  <si>
    <t>VSP-001 — VSP-001 - Programmer Module (FireSense)</t>
  </si>
  <si>
    <t>firesense vsp-001 vsp-001 - programmer module</t>
  </si>
  <si>
    <t>VSP-002</t>
  </si>
  <si>
    <t>VSP-002 - VLP Display Module</t>
  </si>
  <si>
    <t>VSP-002 — VSP-002 - VLP Display Module (FireSense)</t>
  </si>
  <si>
    <t>firesense vsp-002 vsp-002 - vlp display module</t>
  </si>
  <si>
    <t>VSP-003</t>
  </si>
  <si>
    <t>VSP-003 - Vesdanet Socket</t>
  </si>
  <si>
    <t>VSP-003 — VSP-003 - Vesdanet Socket (FireSense)</t>
  </si>
  <si>
    <t>firesense vsp-003 vsp-003 - vesdanet socket</t>
  </si>
  <si>
    <t>VSP-004</t>
  </si>
  <si>
    <t>VSP-004 - VLS Display Module</t>
  </si>
  <si>
    <t>VSP-004 — VSP-004 - VLS Display Module (FireSense)</t>
  </si>
  <si>
    <t>firesense vsp-004 vsp-004 - vls display module</t>
  </si>
  <si>
    <t>VSP-005 - Filter Assembly laser plus</t>
  </si>
  <si>
    <t>VSP-005 — VSP-005 - Filter Assembly laser plus (FireSense)</t>
  </si>
  <si>
    <t>firesense vsp-005 vsp-005 - filter assembly laser plus</t>
  </si>
  <si>
    <t>VSP-007</t>
  </si>
  <si>
    <t>VSP-007 - Remote Termination card, no relays</t>
  </si>
  <si>
    <t>VSP-007 — VSP-007 - Remote Termination card, no relays (FireSense)</t>
  </si>
  <si>
    <t>firesense vsp-007 vsp-007 - remote termination card, no relays</t>
  </si>
  <si>
    <t>VSP-008</t>
  </si>
  <si>
    <t>VSP-008 - Remote Termination card with 7 relays</t>
  </si>
  <si>
    <t>VSP-008 — VSP-008 - Remote Termination card with 7 relays (FireSense)</t>
  </si>
  <si>
    <t>firesense vsp-008 vsp-008 - remote termination card with 7 relays</t>
  </si>
  <si>
    <t>VSP-016</t>
  </si>
  <si>
    <t>VSP-016 Head termination card with 12 relays</t>
  </si>
  <si>
    <t>VSP-016 — VSP-016 Head termination card with 12 relays (FireSense)</t>
  </si>
  <si>
    <t>firesense vsp-016 vsp-016 head termination card with 12 relays</t>
  </si>
  <si>
    <t>VSP-025</t>
  </si>
  <si>
    <t>VSP-025 - (20 x VSP-005) - Filter Assembly laser plus</t>
  </si>
  <si>
    <t>VSP-025 — VSP-025 - (20 x VSP-005) - Filter Assembly laser plus (FireSense)</t>
  </si>
  <si>
    <t>firesense vsp-025 vsp-025 - (20 x vsp-005) - filter assembly laser plus</t>
  </si>
  <si>
    <t>VSP-030</t>
  </si>
  <si>
    <t>VSP-030 - VLI Intelligent Filter</t>
  </si>
  <si>
    <t>VSP-030 — VSP-030 - VLI Intelligent Filter (FireSense)</t>
  </si>
  <si>
    <t>firesense vsp-030 vsp-030 - vli intelligent filter</t>
  </si>
  <si>
    <t>VSP-031</t>
  </si>
  <si>
    <t>VSP-031 - VLI Secondary Filter</t>
  </si>
  <si>
    <t>VSP-031 — VSP-031 - VLI Secondary Filter (FireSense)</t>
  </si>
  <si>
    <t>firesense vsp-031 vsp-031 - vli secondary filter</t>
  </si>
  <si>
    <t>VSP-501</t>
  </si>
  <si>
    <t>VSP-501 - Laser Compact Aspirator</t>
  </si>
  <si>
    <t>VSP-501 — VSP-501 - Laser Compact Aspirator (FireSense)</t>
  </si>
  <si>
    <t>firesense vsp-501 vsp-501 - laser compact aspirator</t>
  </si>
  <si>
    <t>VSP-502</t>
  </si>
  <si>
    <t>VSP-502 - Laser Compact Display Module</t>
  </si>
  <si>
    <t>VSP-502 — VSP-502 - Laser Compact Display Module (FireSense)</t>
  </si>
  <si>
    <t>firesense vsp-502 vsp-502 - laser compact display module</t>
  </si>
  <si>
    <t>VSP-610</t>
  </si>
  <si>
    <t>VSP-610 - Tamp Proof Samp Point 25-27mm</t>
  </si>
  <si>
    <t>VSP-610 — VSP-610 - Tamp Proof Samp Point 25-27mm (FireSense)</t>
  </si>
  <si>
    <t>firesense vsp-610 vsp-610 - tamp proof samp point 25-27mm</t>
  </si>
  <si>
    <t>VSP-620-02</t>
  </si>
  <si>
    <t>VSP-620-02 - Tamp Proof Samp Point 8mm Cap</t>
  </si>
  <si>
    <t>VSP-620-02 — VSP-620-02 - Tamp Proof Samp Point 8mm Cap (FireSense)</t>
  </si>
  <si>
    <t>firesense vsp-620-02 vsp-620-02 - tamp proof samp point 8mm cap</t>
  </si>
  <si>
    <t>VSP-850-G</t>
  </si>
  <si>
    <t>VSP-850-G - In-Line Filter Assembly Grey</t>
  </si>
  <si>
    <t>VSP-850-G — VSP-850-G - In-Line Filter Assembly Grey (FireSense)</t>
  </si>
  <si>
    <t>firesense vsp-850-g vsp-850-g - in-line filter assembly grey</t>
  </si>
  <si>
    <t>VSP-855-4</t>
  </si>
  <si>
    <t>VSP-855-4 - 4 pack of foam replacement filters to suit VSP-850-G</t>
  </si>
  <si>
    <t>VSP-855-4 — VSP-855-4 - 4 pack of foam replacement filters to suit VSP-850-G (FireSense)</t>
  </si>
  <si>
    <t>firesense vsp-855-4 vsp-855-4 - 4 pack of foam replacement filters to suit vsp-850-g</t>
  </si>
  <si>
    <t>VSP-860 Refrigerated Storage Sampling Point Kit</t>
  </si>
  <si>
    <t>VSP-860 — VSP-860 Refrigerated Storage Sampling Point Kit (FireSense)</t>
  </si>
  <si>
    <t>firesense vsp-860 vsp-860 refrigerated storage sampling point kit</t>
  </si>
  <si>
    <t>VSP-877</t>
  </si>
  <si>
    <t>VSP-877 Flush Mount Sampling Point</t>
  </si>
  <si>
    <t>VSP-877 — VSP-877 Flush Mount Sampling Point (FireSense)</t>
  </si>
  <si>
    <t>firesense vsp-877 vsp-877 flush mount sampling point</t>
  </si>
  <si>
    <t>Vesda-E Filter</t>
  </si>
  <si>
    <t>VSP-962 — Vesda-E Filter (FireSense)</t>
  </si>
  <si>
    <t>firesense vsp-962 vesda-e filter</t>
  </si>
  <si>
    <t>VSP-962-20</t>
  </si>
  <si>
    <t>Vesda-E Filter - 20 pack</t>
  </si>
  <si>
    <t>VSP-962-20 — Vesda-E Filter - 20 pack (FireSense)</t>
  </si>
  <si>
    <t>firesense vsp-962-20 vesda-e filter - 20 pack</t>
  </si>
  <si>
    <t>VSP-972</t>
  </si>
  <si>
    <t>VESDA-E - VEA - Filter</t>
  </si>
  <si>
    <t>VSP-972 — VESDA-E - VEA - Filter (FireSense)</t>
  </si>
  <si>
    <t>firesense vsp-972 vesda-e - vea - filter</t>
  </si>
  <si>
    <t>VSP-977</t>
  </si>
  <si>
    <t>VESDA-E - VEA - Filter (10 Pack)</t>
  </si>
  <si>
    <t>VSP-977 — VESDA-E - VEA - Filter (10 Pack) (FireSense)</t>
  </si>
  <si>
    <t>firesense vsp-977 vesda-e - vea - filter (10 pack)</t>
  </si>
  <si>
    <t>VSP-978</t>
  </si>
  <si>
    <t>VESDA-E - VEA - Sample Point Head Removal Key (10 Pack)</t>
  </si>
  <si>
    <t>VSP-978 — VESDA-E - VEA - Sample Point Head Removal Key (10 Pack) (FireSense)</t>
  </si>
  <si>
    <t>firesense vsp-978 vesda-e - vea - sample point head removal key (10 pack)</t>
  </si>
  <si>
    <t>VSP-979</t>
  </si>
  <si>
    <t>VESDA-E - VEA - M Bore Tube Cutter (3 Pack)</t>
  </si>
  <si>
    <t>VSP-979 — VESDA-E - VEA - M Bore Tube Cutter (3 Pack) (FireSense)</t>
  </si>
  <si>
    <t>firesense vsp-979 vesda-e - vea - m bore tube cutter (3 pack)</t>
  </si>
  <si>
    <t>VSP-980-B</t>
  </si>
  <si>
    <t>VESDA-E - VEA - 6mm Black Sampling Point</t>
  </si>
  <si>
    <t>VSP-980-B — VESDA-E - VEA - 6mm Black Sampling Point (FireSense)</t>
  </si>
  <si>
    <t>firesense vsp-980-b vesda-e - vea - 6mm black sampling point</t>
  </si>
  <si>
    <t>VSP-980-W</t>
  </si>
  <si>
    <t>VESDA-E - VEA - 6mm Standard Sampling Point</t>
  </si>
  <si>
    <t>VSP-980-W — VESDA-E - VEA - 6mm Standard Sampling Point (FireSense)</t>
  </si>
  <si>
    <t>firesense vsp-980-w vesda-e - vea - 6mm standard sampling point</t>
  </si>
  <si>
    <t>VSP-981-B</t>
  </si>
  <si>
    <t>VESDA-E - VEA - 4mm Black Sampling Point</t>
  </si>
  <si>
    <t>VSP-981-B — VESDA-E - VEA - 4mm Black Sampling Point (FireSense)</t>
  </si>
  <si>
    <t>firesense vsp-981-b vesda-e - vea - 4mm black sampling point</t>
  </si>
  <si>
    <t>VSP-981-W</t>
  </si>
  <si>
    <t>VESDA-E - VEA - 4mm Standard Sampling Point</t>
  </si>
  <si>
    <t>VSP-981-W — VESDA-E - VEA - 4mm Standard Sampling Point (FireSense)</t>
  </si>
  <si>
    <t>firesense vsp-981-w vesda-e - vea - 4mm standard sampling point</t>
  </si>
  <si>
    <t>VSP-982-W</t>
  </si>
  <si>
    <t>VESDA-E - VEA - 6mm Surface Mount Sampling Point</t>
  </si>
  <si>
    <t>VSP-982-W — VESDA-E - VEA - 6mm Surface Mount Sampling Point (FireSense)</t>
  </si>
  <si>
    <t>firesense vsp-982-w vesda-e - vea - 6mm surface mount sampling point</t>
  </si>
  <si>
    <t>VSP-983-W</t>
  </si>
  <si>
    <t>VESDA-E - VEA - 4mm Surface Mount Sampling Point</t>
  </si>
  <si>
    <t>VSP-983-W — VESDA-E - VEA - 4mm Surface Mount Sampling Point (FireSense)</t>
  </si>
  <si>
    <t>firesense vsp-983-w vesda-e - vea - 4mm surface mount sampling point</t>
  </si>
  <si>
    <t>Want Access (EWP)</t>
  </si>
  <si>
    <t>Electric 12ft (3.6m) Vertical</t>
  </si>
  <si>
    <t>12ft (3.6m) Vertical — Vertical Lifts (Day Rate)</t>
  </si>
  <si>
    <t>Electric 12ft (3.6m) Vertical — 12ft (3.6m) Vertical — Vertical Lifts (Day Rate) (Want Access (EWP))</t>
  </si>
  <si>
    <t>want access (ewp) electric 12ft (3.6m) vertical 12ft (3.6m) vertical — vertical lifts (day rate)</t>
  </si>
  <si>
    <t>Electric 16ft (4.8m) Vertical</t>
  </si>
  <si>
    <t>16ft (4.8m) Vertical — Vertical Lifts (Day Rate)</t>
  </si>
  <si>
    <t>Electric 16ft (4.8m) Vertical — 16ft (4.8m) Vertical — Vertical Lifts (Day Rate) (Want Access (EWP))</t>
  </si>
  <si>
    <t>want access (ewp) electric 16ft (4.8m) vertical 16ft (4.8m) vertical — vertical lifts (day rate)</t>
  </si>
  <si>
    <t>Electric 20ft (6.0m) Vertical</t>
  </si>
  <si>
    <t>20ft (6.0m) Vertical — Vertical Lifts (Day Rate)</t>
  </si>
  <si>
    <t>Electric 20ft (6.0m) Vertical — 20ft (6.0m) Vertical — Vertical Lifts (Day Rate) (Want Access (EWP))</t>
  </si>
  <si>
    <t>want access (ewp) electric 20ft (6.0m) vertical 20ft (6.0m) vertical — vertical lifts (day rate)</t>
  </si>
  <si>
    <t>Electric 26ft (8m) Star 10 Vertical Mast</t>
  </si>
  <si>
    <t>26ft (8m) Star 10 Vertical Mast — Vertical Lifts (Day Rate)</t>
  </si>
  <si>
    <t>Electric 26ft (8m) Star 10 Vertical Mast — 26ft (8m) Star 10 Vertical Mast — Vertical Lifts (Day Rate) (Want Access (EWP))</t>
  </si>
  <si>
    <t>want access (ewp) electric 26ft (8m) star 10 vertical mast 26ft (8m) star 10 vertical mast — vertical lifts (day rate)</t>
  </si>
  <si>
    <t>Push Around 34ft (10.4m) Vertical</t>
  </si>
  <si>
    <t>34ft (10.4m) Vertical — Vertical Lifts (Day Rate)</t>
  </si>
  <si>
    <t>Push Around 34ft (10.4m) Vertical — 34ft (10.4m) Vertical — Vertical Lifts (Day Rate) (Want Access (EWP))</t>
  </si>
  <si>
    <t>want access (ewp) push around 34ft (10.4m) vertical 34ft (10.4m) vertical — vertical lifts (day rate)</t>
  </si>
  <si>
    <t>Electric 15ft (4.5m) Scissor</t>
  </si>
  <si>
    <t>15ft (4.5m) Scissor — Scissor Lifts (Day Rate)</t>
  </si>
  <si>
    <t>Electric 15ft (4.5m) Scissor — 15ft (4.5m) Scissor — Scissor Lifts (Day Rate) (Want Access (EWP))</t>
  </si>
  <si>
    <t>want access (ewp) electric 15ft (4.5m) scissor 15ft (4.5m) scissor — scissor lifts (day rate)</t>
  </si>
  <si>
    <t>Electric 15ft (4.5m) Micro Scissor</t>
  </si>
  <si>
    <t>15ft (4.5m) Micro Scissor — Scissor Lifts (Day Rate)</t>
  </si>
  <si>
    <t>Electric 15ft (4.5m) Micro Scissor — 15ft (4.5m) Micro Scissor — Scissor Lifts (Day Rate) (Want Access (EWP))</t>
  </si>
  <si>
    <t>want access (ewp) electric 15ft (4.5m) micro scissor 15ft (4.5m) micro scissor — scissor lifts (day rate)</t>
  </si>
  <si>
    <t>Electric 19ft (5.8m) Scissor</t>
  </si>
  <si>
    <t>19ft (5.8m) Scissor — Scissor Lifts (Day Rate)</t>
  </si>
  <si>
    <t>Electric 19ft (5.8m) Scissor — 19ft (5.8m) Scissor — Scissor Lifts (Day Rate) (Want Access (EWP))</t>
  </si>
  <si>
    <t>want access (ewp) electric 19ft (5.8m) scissor 19ft (5.8m) scissor — scissor lifts (day rate)</t>
  </si>
  <si>
    <t>Electric 20ft (6.1m) Scissor</t>
  </si>
  <si>
    <t>20ft (6.1m) Scissor — Scissor Lifts (Day Rate)</t>
  </si>
  <si>
    <t>Electric 20ft (6.1m) Scissor — 20ft (6.1m) Scissor — Scissor Lifts (Day Rate) (Want Access (EWP))</t>
  </si>
  <si>
    <t>want access (ewp) electric 20ft (6.1m) scissor 20ft (6.1m) scissor — scissor lifts (day rate)</t>
  </si>
  <si>
    <t>Electric 20ft (6.1m) Wide Scissor</t>
  </si>
  <si>
    <t>20ft (6.1m) Wide Scissor — Scissor Lifts (Day Rate)</t>
  </si>
  <si>
    <t>Electric 20ft (6.1m) Wide Scissor — 20ft (6.1m) Wide Scissor — Scissor Lifts (Day Rate) (Want Access (EWP))</t>
  </si>
  <si>
    <t>want access (ewp) electric 20ft (6.1m) wide scissor 20ft (6.1m) wide scissor — scissor lifts (day rate)</t>
  </si>
  <si>
    <t>Electric 26ft (7.9m) Narrow Scissor</t>
  </si>
  <si>
    <t>26ft (7.9m) Narrow Scissor — Scissor Lifts (Day Rate)</t>
  </si>
  <si>
    <t>Electric 26ft (7.9m) Narrow Scissor — 26ft (7.9m) Narrow Scissor — Scissor Lifts (Day Rate) (Want Access (EWP))</t>
  </si>
  <si>
    <t>want access (ewp) electric 26ft (7.9m) narrow scissor 26ft (7.9m) narrow scissor — scissor lifts (day rate)</t>
  </si>
  <si>
    <t>Electric 26ft (7.9m) Scissor</t>
  </si>
  <si>
    <t>26ft (7.9m) Scissor — Scissor Lifts (Day Rate)</t>
  </si>
  <si>
    <t>Electric 26ft (7.9m) Scissor — 26ft (7.9m) Scissor — Scissor Lifts (Day Rate) (Want Access (EWP))</t>
  </si>
  <si>
    <t>want access (ewp) electric 26ft (7.9m) scissor 26ft (7.9m) scissor — scissor lifts (day rate)</t>
  </si>
  <si>
    <t>Electric 32ft (9.8m) Narrow Scissor</t>
  </si>
  <si>
    <t>32ft (9.8m) Narrow Scissor — Scissor Lifts (Day Rate)</t>
  </si>
  <si>
    <t>Electric 32ft (9.8m) Narrow Scissor — 32ft (9.8m) Narrow Scissor — Scissor Lifts (Day Rate) (Want Access (EWP))</t>
  </si>
  <si>
    <t>want access (ewp) electric 32ft (9.8m) narrow scissor 32ft (9.8m) narrow scissor — scissor lifts (day rate)</t>
  </si>
  <si>
    <t>Electric 32ft (9.8m) Scissor</t>
  </si>
  <si>
    <t>32ft (9.8m) Scissor — Scissor Lifts (Day Rate)</t>
  </si>
  <si>
    <t>Electric 32ft (9.8m) Scissor — 32ft (9.8m) Scissor — Scissor Lifts (Day Rate) (Want Access (EWP))</t>
  </si>
  <si>
    <t>want access (ewp) electric 32ft (9.8m) scissor 32ft (9.8m) scissor — scissor lifts (day rate)</t>
  </si>
  <si>
    <t>Electric 40ft (12.1m) Scissor</t>
  </si>
  <si>
    <t>40ft (12.1m) Scissor — Scissor Lifts (Day Rate)</t>
  </si>
  <si>
    <t>Electric 40ft (12.1m) Scissor — 40ft (12.1m) Scissor — Scissor Lifts (Day Rate) (Want Access (EWP))</t>
  </si>
  <si>
    <t>want access (ewp) electric 40ft (12.1m) scissor 40ft (12.1m) scissor — scissor lifts (day rate)</t>
  </si>
  <si>
    <t>Rough Terrain 33ft (10.05m) Scissor</t>
  </si>
  <si>
    <t>33ft (10.05m) Scissor — Scissor Lifts (Day Rate)</t>
  </si>
  <si>
    <t>Rough Terrain 33ft (10.05m) Scissor — 33ft (10.05m) Scissor — Scissor Lifts (Day Rate) (Want Access (EWP))</t>
  </si>
  <si>
    <t>want access (ewp) rough terrain 33ft (10.05m) scissor 33ft (10.05m) scissor — scissor lifts (day rate)</t>
  </si>
  <si>
    <t>Rough Terrain 41/43ft (12.5/13.1m) Scissor</t>
  </si>
  <si>
    <t>41/43ft (12.5/13.1m) Scissor — Scissor Lifts (Day Rate)</t>
  </si>
  <si>
    <t>Rough Terrain 41/43ft (12.5/13.1m) Scissor — 41/43ft (12.5/13.1m) Scissor — Scissor Lifts (Day Rate) (Want Access (EWP))</t>
  </si>
  <si>
    <t>want access (ewp) rough terrain 41/43ft (12.5/13.1m) scissor 41/43ft (12.5/13.1m) scissor — scissor lifts (day rate)</t>
  </si>
  <si>
    <t>Rough Terrain 50ft (15.2m) Scissor</t>
  </si>
  <si>
    <t>50ft (15.2m) Scissor — Scissor Lifts (Day Rate)</t>
  </si>
  <si>
    <t>Rough Terrain 50ft (15.2m) Scissor — 50ft (15.2m) Scissor — Scissor Lifts (Day Rate) (Want Access (EWP))</t>
  </si>
  <si>
    <t>want access (ewp) rough terrain 50ft (15.2m) scissor 50ft (15.2m) scissor — scissor lifts (day rate)</t>
  </si>
  <si>
    <t>Self Levelling 19ft (5.9m) Athena Bi-Levelling Scissor</t>
  </si>
  <si>
    <t>19ft (5.9m) Athena Bi-Levelling Scissor — Scissor Lifts (Day Rate)</t>
  </si>
  <si>
    <t>Self Levelling 19ft (5.9m) Athena Bi-Levelling Scissor — 19ft (5.9m) Athena Bi-Levelling Scissor — Scissor Lifts (Day Rate) (Want Access (EWP))</t>
  </si>
  <si>
    <t>want access (ewp) self levelling 19ft (5.9m) athena bi-levelling scissor 19ft (5.9m) athena bi-levelling scissor — scissor lifts (day rate)</t>
  </si>
  <si>
    <t>Electric Knuckle 32ft (9.8m) Knuckle Boom</t>
  </si>
  <si>
    <t>32ft (9.8m) Knuckle Boom — Boom Lifts (Day Rate)</t>
  </si>
  <si>
    <t>Electric Knuckle 32ft (9.8m) Knuckle Boom — 32ft (9.8m) Knuckle Boom — Boom Lifts (Day Rate) (Want Access (EWP))</t>
  </si>
  <si>
    <t>want access (ewp) electric knuckle 32ft (9.8m) knuckle boom 32ft (9.8m) knuckle boom — boom lifts (day rate)</t>
  </si>
  <si>
    <t>Electric Knuckle 45ft (13.8m) Knuckle Boom</t>
  </si>
  <si>
    <t>45ft (13.8m) Knuckle Boom — Boom Lifts (Day Rate)</t>
  </si>
  <si>
    <t>Electric Knuckle 45ft (13.8m) Knuckle Boom — 45ft (13.8m) Knuckle Boom — Boom Lifts (Day Rate) (Want Access (EWP))</t>
  </si>
  <si>
    <t>want access (ewp) electric knuckle 45ft (13.8m) knuckle boom 45ft (13.8m) knuckle boom — boom lifts (day rate)</t>
  </si>
  <si>
    <t>Rough Terrain Knuckle 34ft (10.4m) Knuckle Boom</t>
  </si>
  <si>
    <t>34ft (10.4m) Knuckle Boom — Boom Lifts (Day Rate)</t>
  </si>
  <si>
    <t>Rough Terrain Knuckle 34ft (10.4m) Knuckle Boom — 34ft (10.4m) Knuckle Boom — Boom Lifts (Day Rate) (Want Access (EWP))</t>
  </si>
  <si>
    <t>want access (ewp) rough terrain knuckle 34ft (10.4m) knuckle boom 34ft (10.4m) knuckle boom — boom lifts (day rate)</t>
  </si>
  <si>
    <t>Rough Terrain Knuckle 46ft (13.8m) Knuckle Boom</t>
  </si>
  <si>
    <t>46ft (13.8m) Knuckle Boom — Boom Lifts (Day Rate)</t>
  </si>
  <si>
    <t>Rough Terrain Knuckle 46ft (13.8m) Knuckle Boom — 46ft (13.8m) Knuckle Boom — Boom Lifts (Day Rate) (Want Access (EWP))</t>
  </si>
  <si>
    <t>want access (ewp) rough terrain knuckle 46ft (13.8m) knuckle boom 46ft (13.8m) knuckle boom — boom lifts (day rate)</t>
  </si>
  <si>
    <t>Rough Terrain Knuckle 51ft (15.5m) Knuckle Boom</t>
  </si>
  <si>
    <t>51ft (15.5m) Knuckle Boom — Boom Lifts (Day Rate)</t>
  </si>
  <si>
    <t>Rough Terrain Knuckle 51ft (15.5m) Knuckle Boom — 51ft (15.5m) Knuckle Boom — Boom Lifts (Day Rate) (Want Access (EWP))</t>
  </si>
  <si>
    <t>want access (ewp) rough terrain knuckle 51ft (15.5m) knuckle boom 51ft (15.5m) knuckle boom — boom lifts (day rate)</t>
  </si>
  <si>
    <t>Rough Terrain Knuckle 60ft (18.2m) Knuckle Boom</t>
  </si>
  <si>
    <t>60ft (18.2m) Knuckle Boom — Boom Lifts (Day Rate)</t>
  </si>
  <si>
    <t>Rough Terrain Knuckle 60ft (18.2m) Knuckle Boom — 60ft (18.2m) Knuckle Boom — Boom Lifts (Day Rate) (Want Access (EWP))</t>
  </si>
  <si>
    <t>want access (ewp) rough terrain knuckle 60ft (18.2m) knuckle boom 60ft (18.2m) knuckle boom — boom lifts (day rate)</t>
  </si>
  <si>
    <t>Rough Terrain Knuckle 80ft (24.1m) Knuckle Boom</t>
  </si>
  <si>
    <t>80ft (24.1m) Knuckle Boom — Boom Lifts (Day Rate)</t>
  </si>
  <si>
    <t>Rough Terrain Knuckle 80ft (24.1m) Knuckle Boom — 80ft (24.1m) Knuckle Boom — Boom Lifts (Day Rate) (Want Access (EWP))</t>
  </si>
  <si>
    <t>want access (ewp) rough terrain knuckle 80ft (24.1m) knuckle boom 80ft (24.1m) knuckle boom — boom lifts (day rate)</t>
  </si>
  <si>
    <t>Rough Terrain Knuckle 135ft (41m) Knuckle Boom</t>
  </si>
  <si>
    <t>135ft (41m) Knuckle Boom — Boom Lifts (Day Rate)</t>
  </si>
  <si>
    <t>Rough Terrain Knuckle 135ft (41m) Knuckle Boom — 135ft (41m) Knuckle Boom — Boom Lifts (Day Rate) (Want Access (EWP))</t>
  </si>
  <si>
    <t>want access (ewp) rough terrain knuckle 135ft (41m) knuckle boom 135ft (41m) knuckle boom — boom lifts (day rate)</t>
  </si>
  <si>
    <t>Rough Terrain Stick 46ft (13.8m) Stick Boom</t>
  </si>
  <si>
    <t>46ft (13.8m) Stick Boom — Boom Lifts (Day Rate)</t>
  </si>
  <si>
    <t>Rough Terrain Stick 46ft (13.8m) Stick Boom — 46ft (13.8m) Stick Boom — Boom Lifts (Day Rate) (Want Access (EWP))</t>
  </si>
  <si>
    <t>want access (ewp) rough terrain stick 46ft (13.8m) stick boom 46ft (13.8m) stick boom — boom lifts (day rate)</t>
  </si>
  <si>
    <t>Rough Terrain Stick 66ft (20.1m) Stick Boom</t>
  </si>
  <si>
    <t>66ft (20.1m) Stick Boom — Boom Lifts (Day Rate)</t>
  </si>
  <si>
    <t>Rough Terrain Stick 66ft (20.1m) Stick Boom — 66ft (20.1m) Stick Boom — Boom Lifts (Day Rate) (Want Access (EWP))</t>
  </si>
  <si>
    <t>want access (ewp) rough terrain stick 66ft (20.1m) stick boom 66ft (20.1m) stick boom — boom lifts (day rate)</t>
  </si>
  <si>
    <t>Rough Terrain Stick 86ft (26.2m) Stick Boom</t>
  </si>
  <si>
    <t>86ft (26.2m) Stick Boom — Boom Lifts (Day Rate)</t>
  </si>
  <si>
    <t>Rough Terrain Stick 86ft (26.2m) Stick Boom — 86ft (26.2m) Stick Boom — Boom Lifts (Day Rate) (Want Access (EWP))</t>
  </si>
  <si>
    <t>want access (ewp) rough terrain stick 86ft (26.2m) stick boom 86ft (26.2m) stick boom — boom lifts (day rate)</t>
  </si>
  <si>
    <t>Rough Terrain Stick 135ft (41m) Stick Boom</t>
  </si>
  <si>
    <t>135ft (41m) Stick Boom — Boom Lifts (Day Rate)</t>
  </si>
  <si>
    <t>Rough Terrain Stick 135ft (41m) Stick Boom — 135ft (41m) Stick Boom — Boom Lifts (Day Rate) (Want Access (EWP))</t>
  </si>
  <si>
    <t>want access (ewp) rough terrain stick 135ft (41m) stick boom 135ft (41m) stick boom — boom lifts (day rate)</t>
  </si>
  <si>
    <t>Hybrid Boom Elec/Diesel 33ft (10.05m) Nifty HR12 Boom Lift</t>
  </si>
  <si>
    <t>33ft (10.05m) Nifty HR12 Boom Lift — Boom Lifts (Day Rate)</t>
  </si>
  <si>
    <t>Hybrid Boom Elec/Diesel 33ft (10.05m) Nifty HR12 Boom Lift — 33ft (10.05m) Nifty HR12 Boom Lift — Boom Lifts (Day Rate) (Want Access (EWP))</t>
  </si>
  <si>
    <t>want access (ewp) hybrid boom elec/diesel 33ft (10.05m) nifty hr12 boom lift 33ft (10.05m) nifty hr12 boom lift — boom lifts (day rate)</t>
  </si>
  <si>
    <t>Hybrid Boom Elec/Diesel 60ft (18.2m) Hybrid Knuckle Boom</t>
  </si>
  <si>
    <t>60ft (18.2m) Hybrid Knuckle Boom — Boom Lifts (Day Rate)</t>
  </si>
  <si>
    <t>Hybrid Boom Elec/Diesel 60ft (18.2m) Hybrid Knuckle Boom — 60ft (18.2m) Hybrid Knuckle Boom — Boom Lifts (Day Rate) (Want Access (EWP))</t>
  </si>
  <si>
    <t>want access (ewp) hybrid boom elec/diesel 60ft (18.2m) hybrid knuckle boom 60ft (18.2m) hybrid knuckle boom — boom lifts (day rate)</t>
  </si>
  <si>
    <t>Electric Electric Pallet Jacks</t>
  </si>
  <si>
    <t>Electric Pallet Jacks — Forklifts &amp; Telehandlers (Day Rate)</t>
  </si>
  <si>
    <t>Electric Electric Pallet Jacks — Electric Pallet Jacks — Forklifts &amp; Telehandlers (Day Rate) (Want Access (EWP))</t>
  </si>
  <si>
    <t>want access (ewp) electric electric pallet jacks electric pallet jacks — forklifts &amp; telehandlers (day rate)</t>
  </si>
  <si>
    <t>Gas &amp; Rough Terrain 2.5T Gas Forklift</t>
  </si>
  <si>
    <t>2.5T Gas Forklift — Forklifts &amp; Telehandlers (Day Rate)</t>
  </si>
  <si>
    <t>Gas &amp; Rough Terrain 2.5T Gas Forklift — 2.5T Gas Forklift — Forklifts &amp; Telehandlers (Day Rate) (Want Access (EWP))</t>
  </si>
  <si>
    <t>want access (ewp) gas &amp; rough terrain 2.5t gas forklift 2.5t gas forklift — forklifts &amp; telehandlers (day rate)</t>
  </si>
  <si>
    <t>Gas &amp; Rough Terrain 3.0T Gas Forklift</t>
  </si>
  <si>
    <t>3.0T Gas Forklift — Forklifts &amp; Telehandlers (Day Rate)</t>
  </si>
  <si>
    <t>Gas &amp; Rough Terrain 3.0T Gas Forklift — 3.0T Gas Forklift — Forklifts &amp; Telehandlers (Day Rate) (Want Access (EWP))</t>
  </si>
  <si>
    <t>want access (ewp) gas &amp; rough terrain 3.0t gas forklift 3.0t gas forklift — forklifts &amp; telehandlers (day rate)</t>
  </si>
  <si>
    <t>Gas &amp; Rough Terrain 2.5T 6M Telehandler</t>
  </si>
  <si>
    <t>2.5T 6M Telehandler — Forklifts &amp; Telehandlers (Day Rate)</t>
  </si>
  <si>
    <t>Gas &amp; Rough Terrain 2.5T 6M Telehandler — 2.5T 6M Telehandler — Forklifts &amp; Telehandlers (Day Rate) (Want Access (EWP))</t>
  </si>
  <si>
    <t>want access (ewp) gas &amp; rough terrain 2.5t 6m telehandler 2.5t 6m telehandler — forklifts &amp; telehandlers (day rate)</t>
  </si>
  <si>
    <t>Gas &amp; Rough Terrain 3T 7M Telehandler</t>
  </si>
  <si>
    <t>3T 7M Telehandler — Forklifts &amp; Telehandlers (Day Rate)</t>
  </si>
  <si>
    <t>Gas &amp; Rough Terrain 3T 7M Telehandler — 3T 7M Telehandler — Forklifts &amp; Telehandlers (Day Rate) (Want Access (EWP))</t>
  </si>
  <si>
    <t>want access (ewp) gas &amp; rough terrain 3t 7m telehandler 3t 7m telehandler — forklifts &amp; telehandlers (day rate)</t>
  </si>
  <si>
    <t>Gas &amp; Rough Terrain 3.5T 10M Telehandler</t>
  </si>
  <si>
    <t>3.5T 10M Telehandler — Forklifts &amp; Telehandlers (Day Rate)</t>
  </si>
  <si>
    <t>Gas &amp; Rough Terrain 3.5T 10M Telehandler — 3.5T 10M Telehandler — Forklifts &amp; Telehandlers (Day Rate) (Want Access (EWP))</t>
  </si>
  <si>
    <t>want access (ewp) gas &amp; rough terrain 3.5t 10m telehandler 3.5t 10m telehandler — forklifts &amp; telehandlers (day rate)</t>
  </si>
  <si>
    <t>Gas &amp; Rough Terrain 4T 17M Telehandler</t>
  </si>
  <si>
    <t>4T 17M Telehandler — Forklifts &amp; Telehandlers (Day Rate)</t>
  </si>
  <si>
    <t>Gas &amp; Rough Terrain 4T 17M Telehandler — 4T 17M Telehandler — Forklifts &amp; Telehandlers (Day Rate) (Want Access (EWP))</t>
  </si>
  <si>
    <t>want access (ewp) gas &amp; rough terrain 4t 17m telehandler 4t 17m telehandler — forklifts &amp; telehandlers (day rate)</t>
  </si>
  <si>
    <t>EQSS Secondary Scissor Lift Guarding</t>
  </si>
  <si>
    <t>EQSS Secondary Scissor Lift Guarding — Attachments (Day Rate)</t>
  </si>
  <si>
    <t>EQSS Secondary Scissor Lift Guarding — EQSS Secondary Scissor Lift Guarding — Attachments (Day Rate) (Want Access (EWP))</t>
  </si>
  <si>
    <t>want access (ewp) eqss secondary scissor lift guarding eqss secondary scissor lift guarding — attachments (day rate)</t>
  </si>
  <si>
    <t>Electric Scissor Lift — Pipe Racks</t>
  </si>
  <si>
    <t>Electric Scissor Lift — Pipe Racks — Attachments (Day Rate)</t>
  </si>
  <si>
    <t>Electric Scissor Lift — Pipe Racks — Electric Scissor Lift — Pipe Racks — Attachments (Day Rate) (Want Access (EWP))</t>
  </si>
  <si>
    <t>want access (ewp) electric scissor lift — pipe racks electric scissor lift — pipe racks — attachments (day rate)</t>
  </si>
  <si>
    <t>Electric Scissor Lift — Board Carriers</t>
  </si>
  <si>
    <t>Electric Scissor Lift — Board Carriers — Attachments (Day Rate)</t>
  </si>
  <si>
    <t>Electric Scissor Lift — Board Carriers — Electric Scissor Lift — Board Carriers — Attachments (Day Rate) (Want Access (EWP))</t>
  </si>
  <si>
    <t>want access (ewp) electric scissor lift — board carriers electric scissor lift — board carriers — attachments (day rate)</t>
  </si>
  <si>
    <t>Diesel Scissor Lift — Pipe Racks</t>
  </si>
  <si>
    <t>Diesel Scissor Lift — Pipe Racks — Attachments (Day Rate)</t>
  </si>
  <si>
    <t>Diesel Scissor Lift — Pipe Racks — Diesel Scissor Lift — Pipe Racks — Attachments (Day Rate) (Want Access (EWP))</t>
  </si>
  <si>
    <t>want access (ewp) diesel scissor lift — pipe racks diesel scissor lift — pipe racks — attachments (day rate)</t>
  </si>
  <si>
    <t>Forklift — Rotator</t>
  </si>
  <si>
    <t>Forklift — Rotator — Attachments (Day Rate)</t>
  </si>
  <si>
    <t>Forklift — Rotator — Forklift — Rotator — Attachments (Day Rate) (Want Access (EWP))</t>
  </si>
  <si>
    <t>want access (ewp) forklift — rotator forklift — rotator — attachments (day rate)</t>
  </si>
  <si>
    <t>2.5T Telehandler — Rotator</t>
  </si>
  <si>
    <t>2.5T Telehandler — Rotator — Attachments (Day Rate)</t>
  </si>
  <si>
    <t>2.5T Telehandler — Rotator — 2.5T Telehandler — Rotator — Attachments (Day Rate) (Want Access (EWP))</t>
  </si>
  <si>
    <t>want access (ewp) 2.5t telehandler — rotator 2.5t telehandler — rotator — attachments (day rate)</t>
  </si>
  <si>
    <t>2.5T Telehandler — Jib</t>
  </si>
  <si>
    <t>2.5T Telehandler — Jib — Attachments (Day Rate)</t>
  </si>
  <si>
    <t>2.5T Telehandler — Jib — 2.5T Telehandler — Jib — Attachments (Day Rate) (Want Access (EWP))</t>
  </si>
  <si>
    <t>want access (ewp) 2.5t telehandler — jib 2.5t telehandler — jib — attachments (day rate)</t>
  </si>
  <si>
    <t>3T &amp; Over Telehandler — Rotator</t>
  </si>
  <si>
    <t>3T &amp; Over Telehandler — Rotator — Attachments (Day Rate)</t>
  </si>
  <si>
    <t>3T &amp; Over Telehandler — Rotator — 3T &amp; Over Telehandler — Rotator — Attachments (Day Rate) (Want Access (EWP))</t>
  </si>
  <si>
    <t>want access (ewp) 3t &amp; over telehandler — rotator 3t &amp; over telehandler — rotator — attachments (day rate)</t>
  </si>
  <si>
    <t>3T &amp; Over Telehandler — Jib</t>
  </si>
  <si>
    <t>3T &amp; Over Telehandler — Jib — Attachments (Day Rate)</t>
  </si>
  <si>
    <t>3T &amp; Over Telehandler — Jib — 3T &amp; Over Telehandler — Jib — Attachments (Day Rate) (Want Access (EWP))</t>
  </si>
  <si>
    <t>want access (ewp) 3t &amp; over telehandler — jib 3t &amp; over telehandler — jib — attachments (day rate)</t>
  </si>
  <si>
    <t>ESA (EWP)</t>
  </si>
  <si>
    <t>19ft Electric Scissor Lift (Daily)</t>
  </si>
  <si>
    <t>19ft Electric Scissor Lift — Electric Scissor (Daily Base Rate ex GST/levies)</t>
  </si>
  <si>
    <t>19ft Electric Scissor Lift (Daily) — 19ft Electric Scissor Lift — Electric Scissor (Daily Base Rate ex GST/levies) (ESA (EWP))</t>
  </si>
  <si>
    <t>esa (ewp) 19ft electric scissor lift (daily) 19ft electric scissor lift — electric scissor (daily base rate ex gst/levies)</t>
  </si>
  <si>
    <t>19ft Electric Scissor Lift (Weekly)</t>
  </si>
  <si>
    <t>19ft Electric Scissor Lift — Electric Scissor (Weekly Base Rate ex GST/levies)</t>
  </si>
  <si>
    <t>19ft Electric Scissor Lift (Weekly) — 19ft Electric Scissor Lift — Electric Scissor (Weekly Base Rate ex GST/levies) (ESA (EWP))</t>
  </si>
  <si>
    <t>esa (ewp) 19ft electric scissor lift (weekly) 19ft electric scissor lift — electric scissor (weekly base rate ex gst/levies)</t>
  </si>
  <si>
    <t>26ft Electric Scissor Lift (Daily)</t>
  </si>
  <si>
    <t>26ft Electric Scissor Lift — Electric Scissor (Daily Base Rate ex GST/levies)</t>
  </si>
  <si>
    <t>26ft Electric Scissor Lift (Daily) — 26ft Electric Scissor Lift — Electric Scissor (Daily Base Rate ex GST/levies) (ESA (EWP))</t>
  </si>
  <si>
    <t>esa (ewp) 26ft electric scissor lift (daily) 26ft electric scissor lift — electric scissor (daily base rate ex gst/levies)</t>
  </si>
  <si>
    <t>26ft Electric Scissor Lift (Weekly)</t>
  </si>
  <si>
    <t>26ft Electric Scissor Lift — Electric Scissor (Weekly Base Rate ex GST/levies)</t>
  </si>
  <si>
    <t>26ft Electric Scissor Lift (Weekly) — 26ft Electric Scissor Lift — Electric Scissor (Weekly Base Rate ex GST/levies) (ESA (EWP))</t>
  </si>
  <si>
    <t>esa (ewp) 26ft electric scissor lift (weekly) 26ft electric scissor lift — electric scissor (weekly base rate ex gst/levies)</t>
  </si>
  <si>
    <t>32ft Electric Scissor Lift (Daily)</t>
  </si>
  <si>
    <t>32ft Electric Scissor Lift — Electric Scissor (Daily Base Rate ex GST/levies)</t>
  </si>
  <si>
    <t>32ft Electric Scissor Lift (Daily) — 32ft Electric Scissor Lift — Electric Scissor (Daily Base Rate ex GST/levies) (ESA (EWP))</t>
  </si>
  <si>
    <t>esa (ewp) 32ft electric scissor lift (daily) 32ft electric scissor lift — electric scissor (daily base rate ex gst/levies)</t>
  </si>
  <si>
    <t>32ft Electric Scissor Lift (Weekly)</t>
  </si>
  <si>
    <t>32ft Electric Scissor Lift — Electric Scissor (Weekly Base Rate ex GST/levies)</t>
  </si>
  <si>
    <t>32ft Electric Scissor Lift (Weekly) — 32ft Electric Scissor Lift — Electric Scissor (Weekly Base Rate ex GST/levies) (ESA (EWP))</t>
  </si>
  <si>
    <t>esa (ewp) 32ft electric scissor lift (weekly) 32ft electric scissor lift — electric scissor (weekly base rate ex gst/levies)</t>
  </si>
  <si>
    <t>40ft Electric Scissor Lift (Daily)</t>
  </si>
  <si>
    <t>40ft Electric Scissor Lift — Electric Scissor (Daily Base Rate ex GST/levies)</t>
  </si>
  <si>
    <t>40ft Electric Scissor Lift (Daily) — 40ft Electric Scissor Lift — Electric Scissor (Daily Base Rate ex GST/levies) (ESA (EWP))</t>
  </si>
  <si>
    <t>esa (ewp) 40ft electric scissor lift (daily) 40ft electric scissor lift — electric scissor (daily base rate ex gst/levies)</t>
  </si>
  <si>
    <t>40ft Electric Scissor Lift (Weekly)</t>
  </si>
  <si>
    <t>40ft Electric Scissor Lift — Electric Scissor (Weekly Base Rate ex GST/levies)</t>
  </si>
  <si>
    <t>40ft Electric Scissor Lift (Weekly) — 40ft Electric Scissor Lift — Electric Scissor (Weekly Base Rate ex GST/levies) (ESA (EWP))</t>
  </si>
  <si>
    <t>esa (ewp) 40ft electric scissor lift (weekly) 40ft electric scissor lift — electric scissor (weekly base rate ex gst/levies)</t>
  </si>
  <si>
    <t>30/34ft Electric Knuckle Boom (Daily)</t>
  </si>
  <si>
    <t>30/34ft Electric Knuckle Boom — Electric Knuckle Boom (Daily Base Rate ex GST/levies)</t>
  </si>
  <si>
    <t>30/34ft Electric Knuckle Boom (Daily) — 30/34ft Electric Knuckle Boom — Electric Knuckle Boom (Daily Base Rate ex GST/levies) (ESA (EWP))</t>
  </si>
  <si>
    <t>esa (ewp) 30/34ft electric knuckle boom (daily) 30/34ft electric knuckle boom — electric knuckle boom (daily base rate ex gst/levies)</t>
  </si>
  <si>
    <t>30/34ft Electric Knuckle Boom (Weekly)</t>
  </si>
  <si>
    <t>30/34ft Electric Knuckle Boom — Electric Knuckle Boom (Weekly Base Rate ex GST/levies)</t>
  </si>
  <si>
    <t>30/34ft Electric Knuckle Boom (Weekly) — 30/34ft Electric Knuckle Boom — Electric Knuckle Boom (Weekly Base Rate ex GST/levies) (ESA (EWP))</t>
  </si>
  <si>
    <t>esa (ewp) 30/34ft electric knuckle boom (weekly) 30/34ft electric knuckle boom — electric knuckle boom (weekly base rate ex gst/levies)</t>
  </si>
  <si>
    <t>45ft Electric Knuckle Boom (Daily)</t>
  </si>
  <si>
    <t>45ft Electric Knuckle Boom — Electric Knuckle Boom (Daily Base Rate ex GST/levies)</t>
  </si>
  <si>
    <t>45ft Electric Knuckle Boom (Daily) — 45ft Electric Knuckle Boom — Electric Knuckle Boom (Daily Base Rate ex GST/levies) (ESA (EWP))</t>
  </si>
  <si>
    <t>esa (ewp) 45ft electric knuckle boom (daily) 45ft electric knuckle boom — electric knuckle boom (daily base rate ex gst/levies)</t>
  </si>
  <si>
    <t>45ft Electric Knuckle Boom (Weekly)</t>
  </si>
  <si>
    <t>45ft Electric Knuckle Boom — Electric Knuckle Boom (Weekly Base Rate ex GST/levies)</t>
  </si>
  <si>
    <t>45ft Electric Knuckle Boom (Weekly) — 45ft Electric Knuckle Boom — Electric Knuckle Boom (Weekly Base Rate ex GST/levies) (ESA (EWP))</t>
  </si>
  <si>
    <t>esa (ewp) 45ft electric knuckle boom (weekly) 45ft electric knuckle boom — electric knuckle boom (weekly base rate ex gst/levies)</t>
  </si>
  <si>
    <t>19ft Electric Scissor Lift (To Site)</t>
  </si>
  <si>
    <t>19ft Electric Scissor Lift — Electric Scissor (To Site Base Rate ex GST/levies)</t>
  </si>
  <si>
    <t>19ft Electric Scissor Lift (To Site) — 19ft Electric Scissor Lift — Electric Scissor (To Site Base Rate ex GST/levies) (ESA (EWP))</t>
  </si>
  <si>
    <t>esa (ewp) 19ft electric scissor lift (to site) 19ft electric scissor lift — electric scissor (to site base rate ex gst/levies)</t>
  </si>
  <si>
    <t>26ft Electric Scissor Lift (To Site)</t>
  </si>
  <si>
    <t>26ft Electric Scissor Lift — Electric Scissor (To Site Base Rate ex GST/levies)</t>
  </si>
  <si>
    <t>26ft Electric Scissor Lift (To Site) — 26ft Electric Scissor Lift — Electric Scissor (To Site Base Rate ex GST/levies) (ESA (EWP))</t>
  </si>
  <si>
    <t>esa (ewp) 26ft electric scissor lift (to site) 26ft electric scissor lift — electric scissor (to site base rate ex gst/levies)</t>
  </si>
  <si>
    <t>32ft Electric Scissor Lift (To Site)</t>
  </si>
  <si>
    <t>32ft Electric Scissor Lift — Electric Scissor (To Site Base Rate ex GST/levies)</t>
  </si>
  <si>
    <t>32ft Electric Scissor Lift (To Site) — 32ft Electric Scissor Lift — Electric Scissor (To Site Base Rate ex GST/levies) (ESA (EWP))</t>
  </si>
  <si>
    <t>esa (ewp) 32ft electric scissor lift (to site) 32ft electric scissor lift — electric scissor (to site base rate ex gst/levies)</t>
  </si>
  <si>
    <t>40ft Electric Scissor Lift (To Site)</t>
  </si>
  <si>
    <t>40ft Electric Scissor Lift — Electric Scissor (To Site Base Rate ex GST/levies)</t>
  </si>
  <si>
    <t>40ft Electric Scissor Lift (To Site) — 40ft Electric Scissor Lift — Electric Scissor (To Site Base Rate ex GST/levies) (ESA (EWP))</t>
  </si>
  <si>
    <t>esa (ewp) 40ft electric scissor lift (to site) 40ft electric scissor lift — electric scissor (to site base rate ex gst/levies)</t>
  </si>
  <si>
    <t>30/34ft Electric Knuckle Boom (To Site)</t>
  </si>
  <si>
    <t>30/34ft Electric Knuckle Boom — Electric Knuckle Boom (To Site Base Rate ex GST/levies)</t>
  </si>
  <si>
    <t>30/34ft Electric Knuckle Boom (To Site) — 30/34ft Electric Knuckle Boom — Electric Knuckle Boom (To Site Base Rate ex GST/levies) (ESA (EWP))</t>
  </si>
  <si>
    <t>esa (ewp) 30/34ft electric knuckle boom (to site) 30/34ft electric knuckle boom — electric knuckle boom (to site base rate ex gst/levies)</t>
  </si>
  <si>
    <t>45ft Electric Knuckle Boom (To Site)</t>
  </si>
  <si>
    <t>45ft Electric Knuckle Boom — Electric Knuckle Boom (To Site Base Rate ex GST/levies)</t>
  </si>
  <si>
    <t>45ft Electric Knuckle Boom (To Site) — 45ft Electric Knuckle Boom — Electric Knuckle Boom (To Site Base Rate ex GST/levies) (ESA (EWP))</t>
  </si>
  <si>
    <t>esa (ewp) 45ft electric knuckle boom (to site) 45ft electric knuckle boom — electric knuckle boom (to site base rate ex gst/levies)</t>
  </si>
  <si>
    <t>PERTRONIC INDUSTRIES Pty Ltd — Trade Price List (AUD excl. GST)  |  Effective 1 April 2025</t>
  </si>
  <si>
    <t>Prices may change without notice. Special/project pricing available — contact local Pertronic office. All prices in AUD excl. GST and freight.</t>
  </si>
  <si>
    <t>Category</t>
  </si>
  <si>
    <t>Product Code</t>
  </si>
  <si>
    <t>List Price (AUD)</t>
  </si>
  <si>
    <t>Notes</t>
  </si>
  <si>
    <t>F220 Panels — 600mm</t>
  </si>
  <si>
    <t>600H x 450W x 155D mm</t>
  </si>
  <si>
    <t>F220 Panels — 10U</t>
  </si>
  <si>
    <t>Incl. LCD; 530H x 550W x 185D mm</t>
  </si>
  <si>
    <t>F220 Panels — 13U</t>
  </si>
  <si>
    <t>600H x 550W x 185D mm</t>
  </si>
  <si>
    <t>F220 Panels — 16U</t>
  </si>
  <si>
    <t>800H x 575W x 185D mm</t>
  </si>
  <si>
    <t>F220 Panels — 22U</t>
  </si>
  <si>
    <t>1065H x 575W x 290D mm</t>
  </si>
  <si>
    <t>F220 Panels — 28U Slim</t>
  </si>
  <si>
    <t>1330H x 575W x 290D mm</t>
  </si>
  <si>
    <t>F220 Panels — 28U</t>
  </si>
  <si>
    <t>1330H x 575W x 385D mm</t>
  </si>
  <si>
    <t>F220 Panels — 40U</t>
  </si>
  <si>
    <t>1865H x 575W x 385D mm</t>
  </si>
  <si>
    <t>F220 Panels — ARC</t>
  </si>
  <si>
    <t>Agent Release Controller</t>
  </si>
  <si>
    <t>Panel Accessories</t>
  </si>
  <si>
    <t>Display Mimics</t>
  </si>
  <si>
    <t>Modules — F100A/F220</t>
  </si>
  <si>
    <t>Modules — System Sensor</t>
  </si>
  <si>
    <t>Uses M200E-SMB Box</t>
  </si>
  <si>
    <t>Uses PMB125</t>
  </si>
  <si>
    <t>Fan Controls</t>
  </si>
  <si>
    <t>Networking</t>
  </si>
  <si>
    <t>Requires Modbus GPIB</t>
  </si>
  <si>
    <t>AA Detectors</t>
  </si>
  <si>
    <t>Acclimate replacement</t>
  </si>
  <si>
    <t>While stocks last</t>
  </si>
  <si>
    <t>AA Detector Bases</t>
  </si>
  <si>
    <t>AA Duct Detection</t>
  </si>
  <si>
    <t>Conv. Detectors</t>
  </si>
  <si>
    <t>Beam Detection</t>
  </si>
  <si>
    <t>Conv. Duct</t>
  </si>
  <si>
    <t>Flame Detectors</t>
  </si>
  <si>
    <t>Manual Call Points</t>
  </si>
  <si>
    <t>Sounders &amp; Strobes</t>
  </si>
  <si>
    <t>Requires B501AP-W Base</t>
  </si>
  <si>
    <t>Requires B501AP-IV Base</t>
  </si>
  <si>
    <t>Requires B501AUS Base</t>
  </si>
  <si>
    <t>Requires B501AP-W</t>
  </si>
  <si>
    <t>AS7240.23 Type A</t>
  </si>
  <si>
    <t>Amplifiers</t>
  </si>
  <si>
    <t>Speakers</t>
  </si>
  <si>
    <t>Door Release</t>
  </si>
  <si>
    <t>EWIS</t>
  </si>
  <si>
    <t>VESDA / Aspirating</t>
  </si>
  <si>
    <t>OSID Beam</t>
  </si>
  <si>
    <t>ARC Products</t>
  </si>
  <si>
    <t>Power Supplies</t>
  </si>
  <si>
    <t>Batteries</t>
  </si>
  <si>
    <t>Battery Cabinets</t>
  </si>
  <si>
    <t>Spare Parts</t>
  </si>
  <si>
    <t>Sundry Detection</t>
  </si>
  <si>
    <t>Thermal Probes</t>
  </si>
  <si>
    <t>FUSION FIRE SYSTEMS — Quote QU30920  |  Unit Rates for FlameSafe  |  7 April 2026  |  Valid 60 days</t>
  </si>
  <si>
    <t>Contact: Giorgio Montanari  |  1300 875 360  |  admin@fusionadvanced.com  |  ABN: 51 159 254 921  |  All prices excl. GST and freight.</t>
  </si>
  <si>
    <t>Item Code</t>
  </si>
  <si>
    <t>Unit Price (AUD)</t>
  </si>
  <si>
    <t>AU-5000 Screen/Cards</t>
  </si>
  <si>
    <t>AU-5000 Motherboards</t>
  </si>
  <si>
    <t>Network Cards</t>
  </si>
  <si>
    <t>Confirm SC or ST on order; 2x per fault-tolerant system; 1x UFEC15 PSE per system</t>
  </si>
  <si>
    <t>For NT Miri unit</t>
  </si>
  <si>
    <t>P-Bus Cards</t>
  </si>
  <si>
    <t>Max 16 cards</t>
  </si>
  <si>
    <t>Axis Detectors</t>
  </si>
  <si>
    <t>Drift Compensation; LED Colour Flash optional</t>
  </si>
  <si>
    <t>Automatic Drift Compensation</t>
  </si>
  <si>
    <t>Approved AS1603.13, AS7240.7/.17/.13</t>
  </si>
  <si>
    <t>Speakers &amp; Strobes</t>
  </si>
  <si>
    <t>Shallow base</t>
  </si>
  <si>
    <t>Selectable by logic</t>
  </si>
  <si>
    <t>Individually addressed from CIE</t>
  </si>
  <si>
    <t>SCI (X) detectors only; AS7240.3</t>
  </si>
  <si>
    <t>AS7240.3</t>
  </si>
  <si>
    <t>SCI (X) detectors only; AS7240.3 &amp; 23</t>
  </si>
  <si>
    <t>155mm cut-out required</t>
  </si>
  <si>
    <t>Requires equalisation to comply</t>
  </si>
  <si>
    <t>Modules</t>
  </si>
  <si>
    <t>AS7240.17 &amp; 18</t>
  </si>
  <si>
    <t>Requires DMB enclosure</t>
  </si>
  <si>
    <t>1x C/O contact</t>
  </si>
  <si>
    <t>Door Holders</t>
  </si>
  <si>
    <t>WIP Phone required</t>
  </si>
  <si>
    <t>Taurus Wireless</t>
  </si>
  <si>
    <t>32 local; 15x FRME expanders; AS7240.25/.17/.18</t>
  </si>
  <si>
    <t>AS7240.25/.17/.18</t>
  </si>
  <si>
    <t>AS7240.25</t>
  </si>
  <si>
    <t>AS7240.25 &amp; 7240.7</t>
  </si>
  <si>
    <t>AS7240.25/.5/.7</t>
  </si>
  <si>
    <t>AS7240.25 &amp; 7240.5</t>
  </si>
  <si>
    <t>AS7240.25/.18/.13</t>
  </si>
  <si>
    <t>AS7240.25 &amp; 7240.3</t>
  </si>
  <si>
    <t>AS7240.25 &amp; 7240.11</t>
  </si>
  <si>
    <t>Tools</t>
  </si>
  <si>
    <t>For hard-wired detectors &amp; modules</t>
  </si>
  <si>
    <t>Price per battery</t>
  </si>
  <si>
    <t>QUOTE TOTAL (excl. GST)</t>
  </si>
  <si>
    <t>+ GST $2,710.90 = $29,819.87 total incl. GST</t>
  </si>
  <si>
    <t>FLAMESTOP AUSTRALIA Pty Ltd — Web Pricing (AUD excl. GST)  |  As at 10 April 2026  |  www.flamestop.com.au</t>
  </si>
  <si>
    <t>All prices exclude GST and freight. POA items confirmed upon request. Prices subject to change without notice.</t>
  </si>
  <si>
    <t>Part Number</t>
  </si>
  <si>
    <t>Price (AUD)</t>
  </si>
  <si>
    <t>VESDA-E VEP</t>
  </si>
  <si>
    <t>VESDA-E VES</t>
  </si>
  <si>
    <t>Batteries — Lead Acid</t>
  </si>
  <si>
    <t>Batteries — AGM/VRLA</t>
  </si>
  <si>
    <t>Batteries — Other</t>
  </si>
  <si>
    <t>Battery Boxes / PSU</t>
  </si>
  <si>
    <t>Speaker Grills</t>
  </si>
  <si>
    <t>NOT approved AS ISO 7240.24 — requires project engineer approval</t>
  </si>
  <si>
    <t>VADs — Ceiling Mount</t>
  </si>
  <si>
    <t>VADs — Wall Mount</t>
  </si>
  <si>
    <t>VADs — Accessories</t>
  </si>
  <si>
    <t>VADs — Addressable</t>
  </si>
  <si>
    <t>WIP Phones</t>
  </si>
  <si>
    <t>Indoor MCPs</t>
  </si>
  <si>
    <t>P-SU0631</t>
  </si>
  <si>
    <t>New MCP KAC RED Manual Call Point SU0631</t>
  </si>
  <si>
    <t>POA</t>
  </si>
  <si>
    <t>AMPAC Pty Ltd — Trade Price List (AUD excl. GST)  |  Effective 12 May 2025  |  ABN: 81 634 063 200  |  www.ampac.net</t>
  </si>
  <si>
    <t>Contact: David Lehn (NSW State Manager) — (02) 8866 6211 | 0417 986 847 | dlehn@ampac.net  |  Bradley Marshall (Technical Support) — (02) 8866 6215 | 0406 384 319  |  Unit B28, 32 Egerton St, Silverwater NSW 2128</t>
  </si>
  <si>
    <t>Item No.</t>
  </si>
  <si>
    <t>Trade Price (AUD)</t>
  </si>
  <si>
    <t>Conv. FIP — ZoneSense</t>
  </si>
  <si>
    <t>Conv. FIP — ZoneSense Plus</t>
  </si>
  <si>
    <t>Conv. FIP — Agent Release</t>
  </si>
  <si>
    <t>AA FIP — LoopSense</t>
  </si>
  <si>
    <t>AA FIP — LoopSense Agent</t>
  </si>
  <si>
    <t>AA FIP — FireFinder Plus</t>
  </si>
  <si>
    <t>8651-0117</t>
  </si>
  <si>
    <t>FireFinder+ 1 Loop 14A 10U</t>
  </si>
  <si>
    <t>Contact CSO</t>
  </si>
  <si>
    <t>8651-0118</t>
  </si>
  <si>
    <t>FireFinder+ 1 Loop 22A 16U</t>
  </si>
  <si>
    <t>8651-0119</t>
  </si>
  <si>
    <t>FireFinder+ 1 Loop 22A 29U</t>
  </si>
  <si>
    <t>AA FIP — FireFinder Plus Conv</t>
  </si>
  <si>
    <t>Panel Add-Ons</t>
  </si>
  <si>
    <t>4350-0004</t>
  </si>
  <si>
    <t>AS7240 Smart Terminal BX1</t>
  </si>
  <si>
    <t>4350-0005</t>
  </si>
  <si>
    <t>AS7240 Smart Terminal BX1 with PSU</t>
  </si>
  <si>
    <t>4350-0006</t>
  </si>
  <si>
    <t>AS7240 Smart Terminal Slimline</t>
  </si>
  <si>
    <t>4210-0046</t>
  </si>
  <si>
    <t>Wall/Ceiling Mount Surround</t>
  </si>
  <si>
    <t>EWIS — EvacU Elite</t>
  </si>
  <si>
    <t>6350-PNL13U</t>
  </si>
  <si>
    <t>Base Panel 13U EvacU Elite</t>
  </si>
  <si>
    <t>6350-PNL24U</t>
  </si>
  <si>
    <t>Base Panel 24U EvacU Elite</t>
  </si>
  <si>
    <t>6350-PNL24UCOMBO</t>
  </si>
  <si>
    <t>Base Panel 24U Combo EvacU Elite</t>
  </si>
  <si>
    <t>EWIS — EvacU Elite Amps</t>
  </si>
  <si>
    <t>OWS — EvacU OWS</t>
  </si>
  <si>
    <t>Conv. Detectors — S65</t>
  </si>
  <si>
    <t>Conv. Detectors — Special</t>
  </si>
  <si>
    <t>Conv. MCPs — ACP-06 Indoor</t>
  </si>
  <si>
    <t>Conv. MCPs — ACP-07 WP</t>
  </si>
  <si>
    <t>Duct Sampling</t>
  </si>
  <si>
    <t>AA Detectors — XP95</t>
  </si>
  <si>
    <t>AA Detectors — Discovery</t>
  </si>
  <si>
    <t>AA MCPs — XP95</t>
  </si>
  <si>
    <t>I/O Modules</t>
  </si>
  <si>
    <t>Interface Enclosures</t>
  </si>
  <si>
    <t>Alarm Acknowledgement</t>
  </si>
  <si>
    <t>Air Sampling — Wagner ProSens</t>
  </si>
  <si>
    <t>Air Sampling — Wagner Heads</t>
  </si>
  <si>
    <t>Air Sampling — Wagner Filters</t>
  </si>
  <si>
    <t>Filter box — complete unit</t>
  </si>
  <si>
    <t>Replacement element for LF-AD filter box</t>
  </si>
  <si>
    <t>Replacement element for LF-AD-1 filter box</t>
  </si>
  <si>
    <t>Replacement element for LF-AD-2 filter box</t>
  </si>
  <si>
    <t>Air Sampling — Wagner Misc</t>
  </si>
  <si>
    <t>Air Sampling — MicroSens</t>
  </si>
  <si>
    <t>Air Sampling — Fittings</t>
  </si>
  <si>
    <t>25mm ASD pipe</t>
  </si>
  <si>
    <t>Conv. Sounders — VTG/VSO</t>
  </si>
  <si>
    <t>Conv. Sounders — VTB-I</t>
  </si>
  <si>
    <t>Conv. VADs — VXB-VC</t>
  </si>
  <si>
    <t>Conv. VADs — VXB-VW</t>
  </si>
  <si>
    <t>Conv. Sounder+Beacon</t>
  </si>
  <si>
    <t>LED Beacons</t>
  </si>
  <si>
    <t>Remote Indicators</t>
  </si>
  <si>
    <t>Alarm Bells</t>
  </si>
  <si>
    <t>Warning Signs — ARC</t>
  </si>
  <si>
    <t>Speakers — Ampac</t>
  </si>
  <si>
    <t>Speakers — AS7240-24</t>
  </si>
  <si>
    <t>AA Sounders — XP95</t>
  </si>
  <si>
    <t>AA VADs — XP95</t>
  </si>
  <si>
    <t>AA Sounder+VAD — XP95</t>
  </si>
  <si>
    <t>Ancillary Equipment</t>
  </si>
  <si>
    <t>Test Equipment</t>
  </si>
  <si>
    <t>WANT ACCESS — EWP Hire Rates (AUD excl. GST)  |  Flamesafe Fire Protection  |  Effective 14 Apr 2026  |  Valid until 30 Apr 2027</t>
  </si>
  <si>
    <t>Contact: 02 9603 8883  |  hire@wantaccess.com.au  |  35 Anzac Ave, Smeaton Grange NSW 2567  |  Metro rates only — all other locations POA</t>
  </si>
  <si>
    <t>⚠  Damage Waiver: 15% of hire cost only (no admin, PPSR or environmental levies)  |  Harnesses: $5/day or $10/week with each boom lift  |  Diesel: $4.75/L on-charge, $3.95/L supplied to site  |  Gas bottles: $69.50/bottle  |  Fuel levy: 23% on all transport (from 08.04.2026)  |  Call-out fuel surcharge: $25.00</t>
  </si>
  <si>
    <t>Type / Terrain</t>
  </si>
  <si>
    <t>Day Rate (AUD)</t>
  </si>
  <si>
    <t>Week Rate (AUD)</t>
  </si>
  <si>
    <t>Vertical Lifts</t>
  </si>
  <si>
    <t>Electric</t>
  </si>
  <si>
    <t>12ft (3.6m) Vertical</t>
  </si>
  <si>
    <t>16ft (4.8m) Vertical</t>
  </si>
  <si>
    <t>20ft (6.0m) Vertical</t>
  </si>
  <si>
    <t>26ft (8m) Star 10 Vertical Mast</t>
  </si>
  <si>
    <t>Push Around</t>
  </si>
  <si>
    <t>34ft (10.4m) Vertical</t>
  </si>
  <si>
    <t>Scissor Lifts</t>
  </si>
  <si>
    <t>15ft (4.5m) Scissor</t>
  </si>
  <si>
    <t>15ft (4.5m) Micro Scissor</t>
  </si>
  <si>
    <t>19ft (5.8m) Scissor</t>
  </si>
  <si>
    <t>20ft (6.1m) Scissor</t>
  </si>
  <si>
    <t>20ft (6.1m) Wide Scissor</t>
  </si>
  <si>
    <t>26ft (7.9m) Narrow Scissor</t>
  </si>
  <si>
    <t>26ft (7.9m) Scissor</t>
  </si>
  <si>
    <t>32ft (9.8m) Narrow Scissor</t>
  </si>
  <si>
    <t>32ft (9.8m) Scissor</t>
  </si>
  <si>
    <t>40ft (12.1m) Scissor</t>
  </si>
  <si>
    <t>Rough Terrain</t>
  </si>
  <si>
    <t>33ft (10.05m) Scissor</t>
  </si>
  <si>
    <t>41/43ft (12.5/13.1m) Scissor</t>
  </si>
  <si>
    <t>50ft (15.2m) Scissor</t>
  </si>
  <si>
    <t>Self Levelling</t>
  </si>
  <si>
    <t>19ft (5.9m) Athena Bi-Levelling Scissor</t>
  </si>
  <si>
    <t>Boom Lifts</t>
  </si>
  <si>
    <t>Electric Knuckle</t>
  </si>
  <si>
    <t>32ft (9.8m) Knuckle Boom</t>
  </si>
  <si>
    <t>45ft (13.8m) Knuckle Boom</t>
  </si>
  <si>
    <t>Rough Terrain Knuckle</t>
  </si>
  <si>
    <t>34ft (10.4m) Knuckle Boom</t>
  </si>
  <si>
    <t>46ft (13.8m) Knuckle Boom</t>
  </si>
  <si>
    <t>51ft (15.5m) Knuckle Boom</t>
  </si>
  <si>
    <t>60ft (18.2m) Knuckle Boom</t>
  </si>
  <si>
    <t>80ft (24.1m) Knuckle Boom</t>
  </si>
  <si>
    <t>135ft (41m) Knuckle Boom</t>
  </si>
  <si>
    <t>Rough Terrain Stick</t>
  </si>
  <si>
    <t>46ft (13.8m) Stick Boom</t>
  </si>
  <si>
    <t>66ft (20.1m) Stick Boom</t>
  </si>
  <si>
    <t>86ft (26.2m) Stick Boom</t>
  </si>
  <si>
    <t>135ft (41m) Stick Boom</t>
  </si>
  <si>
    <t>Hybrid Boom Elec/Diesel</t>
  </si>
  <si>
    <t>33ft (10.05m) Nifty HR12 Boom Lift</t>
  </si>
  <si>
    <t>60ft (18.2m) Hybrid Knuckle Boom</t>
  </si>
  <si>
    <t>Forklifts &amp; Telehandlers</t>
  </si>
  <si>
    <t>Electric Pallet Jacks</t>
  </si>
  <si>
    <t>Gas &amp; Rough Terrain</t>
  </si>
  <si>
    <t>2.5T Gas Forklift</t>
  </si>
  <si>
    <t>3.0T Gas Forklift</t>
  </si>
  <si>
    <t>2.5T 6M Telehandler</t>
  </si>
  <si>
    <t>3T 7M Telehandler</t>
  </si>
  <si>
    <t>3.5T 10M Telehandler</t>
  </si>
  <si>
    <t>4T 17M Telehandler</t>
  </si>
  <si>
    <t>Attachments</t>
  </si>
  <si>
    <t>Scaffold</t>
  </si>
  <si>
    <t>Aluminium Towers</t>
  </si>
  <si>
    <t>Aluminium Towers (minimum 1 week hire)</t>
  </si>
  <si>
    <t>N/A</t>
  </si>
  <si>
    <t>$45/vert. m</t>
  </si>
  <si>
    <t>$45 per vertical metre per week — minimum 1 week</t>
  </si>
  <si>
    <t>TRANSPORT — Each Way (Metro Only)  |  23% Temporary Fuel Levy applies  |  Non-metro: POA</t>
  </si>
  <si>
    <t>Category / Equipment</t>
  </si>
  <si>
    <t>One-Way Transport (AUD)</t>
  </si>
  <si>
    <t>First unit; $140 each additional</t>
  </si>
  <si>
    <t>Electric Scissor to 26ft</t>
  </si>
  <si>
    <t>Electric Scissor 32ft</t>
  </si>
  <si>
    <t>Electric Scissor 40ft</t>
  </si>
  <si>
    <t>Star 10 &amp; Athena</t>
  </si>
  <si>
    <t>Diesel Scissor to 33ft</t>
  </si>
  <si>
    <t>Diesel Scissor 39ft</t>
  </si>
  <si>
    <t>Diesel Scissor 43ft</t>
  </si>
  <si>
    <t>Diesel Scissor 53ft</t>
  </si>
  <si>
    <t>Booms to 34ft</t>
  </si>
  <si>
    <t>Booms to 46ft</t>
  </si>
  <si>
    <t>Booms to 51ft</t>
  </si>
  <si>
    <t>Booms to 67ft</t>
  </si>
  <si>
    <t>Booms to 86ft</t>
  </si>
  <si>
    <t>Booms to 135ft</t>
  </si>
  <si>
    <t>Booms to 150ft</t>
  </si>
  <si>
    <t>Booms to 180ft</t>
  </si>
  <si>
    <t>1.8T/2.5T Forklift</t>
  </si>
  <si>
    <t>2.5T Telehandler</t>
  </si>
  <si>
    <t>3T Telehandler</t>
  </si>
  <si>
    <t>3.5T Telehandler</t>
  </si>
  <si>
    <t>4T Telehandler</t>
  </si>
  <si>
    <t>Nifty HR12</t>
  </si>
  <si>
    <t>FIRESENSE Pty Ltd — Trade Price List (AUD excl. GST)  |  NSW 2026 Catalogue  |  Flamesafe Fire Protection customer pricing</t>
  </si>
  <si>
    <t>Contact: (02) 8850 2888  |  sales@firesense.com.au  |  18-20 Brookhollow Ave, Norwest NSW 2153  |  All prices excl. GST and freight. # = rebates may apply. P.O.A = price on application.</t>
  </si>
  <si>
    <t>Batteries &amp; Ancillary</t>
  </si>
  <si>
    <t>Cable Accessories</t>
  </si>
  <si>
    <t>Detectors &amp; Modules</t>
  </si>
  <si>
    <t>LHD-105-W-100</t>
  </si>
  <si>
    <t>Linear Heat Detection Cable - 100m Roll - White - 105 Degree C</t>
  </si>
  <si>
    <t>P.O.A</t>
  </si>
  <si>
    <t>LHD-68-R-100</t>
  </si>
  <si>
    <t>Linear Heat Detection Cable - 100m Roll - Red - 68 Degree C</t>
  </si>
  <si>
    <t>LHD-68-R-200</t>
  </si>
  <si>
    <t>Linear Heat Detection Cable - 200m Roll - Red - 68 Degree C</t>
  </si>
  <si>
    <t>LHD-68-R-500</t>
  </si>
  <si>
    <t>Linear Heat Detection Cable - 500m Roll - Red - 68 Degree C</t>
  </si>
  <si>
    <t>LHD-78-R-100</t>
  </si>
  <si>
    <t>Linear Heat Detection Cable - 100m Roll - Red - 78 Degree C</t>
  </si>
  <si>
    <t>LHD-88-W-100</t>
  </si>
  <si>
    <t>Linear Heat Detection Cable - 100m Roll - White - 88 Degree C</t>
  </si>
  <si>
    <t>Earth Cable LSZH Class 6</t>
  </si>
  <si>
    <t>LSZH-10-1CE</t>
  </si>
  <si>
    <t>Earth Cable - 10mm - 1Core</t>
  </si>
  <si>
    <t>LSZH-120-1CE</t>
  </si>
  <si>
    <t>Earth Cable - 120mm - 1Core - Per Meter</t>
  </si>
  <si>
    <t>LSZH-16-1CE</t>
  </si>
  <si>
    <t>Earth Cable - 16mm - 1Core - Per Meter</t>
  </si>
  <si>
    <t>LSZH-2.50-1CE</t>
  </si>
  <si>
    <t>Earth Cable - 2.50mm - 1Core (Indent Only)</t>
  </si>
  <si>
    <t>LSZH-25-1CE</t>
  </si>
  <si>
    <t>Earth Cable - 25mm - 1Core - Per Meter</t>
  </si>
  <si>
    <t>LSZH-35-1CE</t>
  </si>
  <si>
    <t>Earth Cable - 35mm - 1Core - Per Meter</t>
  </si>
  <si>
    <t>LSZH-4.00-1CE</t>
  </si>
  <si>
    <t>Earth Cable - 4.00mm - 1Core  (Indent Only)</t>
  </si>
  <si>
    <t>LSZH-50-1CE</t>
  </si>
  <si>
    <t>Earth Cable - 50mm - 1Core - Per Meter</t>
  </si>
  <si>
    <t>LSZH-6.00-1CE</t>
  </si>
  <si>
    <t>Earth Cable - 6.00mm - 1Core</t>
  </si>
  <si>
    <t>LSZH-70-1CE</t>
  </si>
  <si>
    <t>Earth Cable - 70mm - 1Core - Per Meter</t>
  </si>
  <si>
    <t>LSZH-95-1CE</t>
  </si>
  <si>
    <t>Earth Cable - 95mm - 1Core - Per Meter</t>
  </si>
  <si>
    <t>FR Cable — Detection 2C</t>
  </si>
  <si>
    <t>FR Cable — Detection 2C Screened</t>
  </si>
  <si>
    <t>FR Cable — Detection 2C White Stripe</t>
  </si>
  <si>
    <t>FR Cable — Detection Other</t>
  </si>
  <si>
    <t>FR Cable — Power Class 2 Multicore</t>
  </si>
  <si>
    <t>FR-2.50-2C+E</t>
  </si>
  <si>
    <t>Fire Rated Cable - 2.50mm - 2 Core + 2.50mm2 Earth</t>
  </si>
  <si>
    <t>FR-2.50-3C+E</t>
  </si>
  <si>
    <t>Fire Rated Cable - 2.50mm - 3 Core + 2.50mm2 Earth</t>
  </si>
  <si>
    <t>FR-2.50-3C+ES</t>
  </si>
  <si>
    <t>Fire Rated Cable - 2.50mm - 3 Core + 2.50mm2 Earth Screened</t>
  </si>
  <si>
    <t>FR-2.50-4C+E</t>
  </si>
  <si>
    <t>Fire Rated Cable - 2.50mm - 4 Core + 2.50mm2 Earth</t>
  </si>
  <si>
    <t>FR-4.00-2C+E</t>
  </si>
  <si>
    <t>Fire Rated Cable - 4.00mm - 2 Core + 2.50mm2 Earth</t>
  </si>
  <si>
    <t>FR-4.00-3C+E</t>
  </si>
  <si>
    <t>Fire Rated Cable - 4.00mm - 3 Core + 2.50mm2 Earth</t>
  </si>
  <si>
    <t>FR-4.00-3C+ES</t>
  </si>
  <si>
    <t>Fire Rated Cable - 4.00mm - 3 Core + 2.50mm2 Earth Screened</t>
  </si>
  <si>
    <t>FR-4.00-4C+E</t>
  </si>
  <si>
    <t>Fire Rated Cable - 4.00mm - 4 Core + 2.50mm2 Earth</t>
  </si>
  <si>
    <t>FR-6.00-2C+E</t>
  </si>
  <si>
    <t>Fire Rated Cable - 6.00mm - 2 Core + 2.50mm2 Earth</t>
  </si>
  <si>
    <t>FR-6.00-3C+E</t>
  </si>
  <si>
    <t>Fire Rated Cable - 6.00mm - 3 Core + 2.50mm2 Earth</t>
  </si>
  <si>
    <t>FR-6.00-3C+ES</t>
  </si>
  <si>
    <t>Fire Rated Cable - 6.00mm - 3 Core + 2.50mm2 Earth Screened</t>
  </si>
  <si>
    <t>FR-6.00-4C+E</t>
  </si>
  <si>
    <t>Fire Rated Cable - 6.00mm - 4 Core + 2.50mm2 Earth</t>
  </si>
  <si>
    <t>FR Cable — Power Class 6 Multicore</t>
  </si>
  <si>
    <t>FR-10-2C+E</t>
  </si>
  <si>
    <t>Fire Rated Cable - 10mm - 2 Core + 4.00mm2 Earth</t>
  </si>
  <si>
    <t>FR-10-3C+E</t>
  </si>
  <si>
    <t>Fire Rated Cable - 10mm - 3 Core + 4.00mm2 Earth</t>
  </si>
  <si>
    <t>FR-10-4C+E</t>
  </si>
  <si>
    <t>Fire Rated Cable - 10mm - 4 Core + 4.00mm2 Earth</t>
  </si>
  <si>
    <t>FR-16-2C+E</t>
  </si>
  <si>
    <t>Fire Rated Cable - 16mm - 2 Core + 6.00mm2 Earth</t>
  </si>
  <si>
    <t>FR-16-4C+E</t>
  </si>
  <si>
    <t>Fire Rated Cable - 16mm - 4 Core + 6.00mm2 Earth</t>
  </si>
  <si>
    <t>FR-25-4C+E</t>
  </si>
  <si>
    <t>Fire Rated Cable - 25mm - 4 Core + 6.00mm2 Earth</t>
  </si>
  <si>
    <t>FR-35-4C+E</t>
  </si>
  <si>
    <t>Fire Rated Cable - 35mm - 4 Core + 10mm2 Earth</t>
  </si>
  <si>
    <t>FR-50-4C+E</t>
  </si>
  <si>
    <t>Fire Rated Cable - 50mm - 4 Core + 16mm2 Earth</t>
  </si>
  <si>
    <t>FR Cable — Power Class 6 Single Core</t>
  </si>
  <si>
    <t>FR-10-1C</t>
  </si>
  <si>
    <t>Fire Rated Cable - 10mm - 1 Core</t>
  </si>
  <si>
    <t>FR-120-1C</t>
  </si>
  <si>
    <t>Fire Rated Cable - 120mm - 1 Core</t>
  </si>
  <si>
    <t>FR-150-1C</t>
  </si>
  <si>
    <t>Fire Rated Cable - 150mm - 1 Core</t>
  </si>
  <si>
    <t>FR-16-1C</t>
  </si>
  <si>
    <t>Fire Rated Cable - 16mm - 1 Core</t>
  </si>
  <si>
    <t>FR-185-1C</t>
  </si>
  <si>
    <t>Fire Rated Cable - 185mm - 1 Core</t>
  </si>
  <si>
    <t>FR-240-1C</t>
  </si>
  <si>
    <t>Fire Rated Cable - 240mm - 1 Core</t>
  </si>
  <si>
    <t>FR-25-1C</t>
  </si>
  <si>
    <t>Fire Rated Cable - 25mm - 1 Core</t>
  </si>
  <si>
    <t>FR-300-1C</t>
  </si>
  <si>
    <t>Fire Rated Cable - 300mm - 1 Core</t>
  </si>
  <si>
    <t>FR-35-1C</t>
  </si>
  <si>
    <t>Fire Rated Cable - 35mm - 1 Core</t>
  </si>
  <si>
    <t>FR-400-1C</t>
  </si>
  <si>
    <t>Fire Rated Cable - 400mm - 1 Core</t>
  </si>
  <si>
    <t>FR-50-1C</t>
  </si>
  <si>
    <t>Fire Rated Cable - 50mm - 1 Core</t>
  </si>
  <si>
    <t>FR-500-1C</t>
  </si>
  <si>
    <t>Fire Rated Cable - 500mm - 1 Core</t>
  </si>
  <si>
    <t>FR-6-1C</t>
  </si>
  <si>
    <t>Fire Rated Cable - 6mm - 1 Core</t>
  </si>
  <si>
    <t>FR-630-1C</t>
  </si>
  <si>
    <t>Fire Rated Cable - 630mm - 1 Core - (Indent Only)</t>
  </si>
  <si>
    <t>FR-70-1C</t>
  </si>
  <si>
    <t>Fire Rated Cable - 70mm - 1 Core</t>
  </si>
  <si>
    <t>FR-95-1C</t>
  </si>
  <si>
    <t>Fire Rated Cable - 95mm - 1 Core</t>
  </si>
  <si>
    <t>Misc / No Discounts</t>
  </si>
  <si>
    <t>Panels &amp; Accessories</t>
  </si>
  <si>
    <t>3030-18U-11A</t>
  </si>
  <si>
    <t>3030 1 Loop, PS-11, Display, In 18u Window Cabinet</t>
  </si>
  <si>
    <t>3030-28U-11A</t>
  </si>
  <si>
    <t>3030 1 Loop, PS-11, Display, In 28u Window Cabinet</t>
  </si>
  <si>
    <t>3030-40U-11A</t>
  </si>
  <si>
    <t>3030 1 Loop, PS-11, Display, In 40u Window Cabinet</t>
  </si>
  <si>
    <t>ECS16</t>
  </si>
  <si>
    <t>ECS16 EWIS Panel</t>
  </si>
  <si>
    <t>EWIS-8EXT</t>
  </si>
  <si>
    <t>ME0205 8 Zone Extender - Complete with Metalwork and PCB</t>
  </si>
  <si>
    <t>EWIS-ALIM</t>
  </si>
  <si>
    <t>PA0646 Audio Line Isolator 2 Channel (ALIM)</t>
  </si>
  <si>
    <t>EWIS-EAMP</t>
  </si>
  <si>
    <t>PA0650 Amplifier EAMP9001 (4 x 10w or 2 x 25w)</t>
  </si>
  <si>
    <t>EWIS-ECM</t>
  </si>
  <si>
    <t>FP1072 ECM Network Card</t>
  </si>
  <si>
    <t>EWIS-ECP</t>
  </si>
  <si>
    <t>PA0643 ECP PCB, 3 WIP per zone</t>
  </si>
  <si>
    <t>EWIS-ECP-KEY-QE90</t>
  </si>
  <si>
    <t>ME0381 First 2 Zones - Mylar (QE90) with Metalwork - No PCB</t>
  </si>
  <si>
    <t>EWIS-EMUX-16</t>
  </si>
  <si>
    <t>PA0758 Multiplexor - 16 Sec Speech (EMUX9601)</t>
  </si>
  <si>
    <t>EWIS-EMUX-60</t>
  </si>
  <si>
    <t>PA0759 Multiplexor - 60 Sec Speech (EMUX9601)</t>
  </si>
  <si>
    <t>EWIS-FIP-MAS</t>
  </si>
  <si>
    <t>PA0651 FIP/BGA x 10 Master Module (FIB8910)</t>
  </si>
  <si>
    <t>EWIS-FIP-SLA</t>
  </si>
  <si>
    <t>PA0652 FIP/BGA x 16 Slave Module (FIPE9004)</t>
  </si>
  <si>
    <t>EWIS-HAMP</t>
  </si>
  <si>
    <t>PA0690 Amplifier HAMP9308 (2 x 50w or 1 x 100w)</t>
  </si>
  <si>
    <t>EWIS-KEYSWITCH</t>
  </si>
  <si>
    <t>EWIS 3 Position Keyswitch, Key removable in right position only</t>
  </si>
  <si>
    <t>EWIS-MIC</t>
  </si>
  <si>
    <t>EWIS Replacement Microphone (I2000 &amp; QE90 Only)</t>
  </si>
  <si>
    <t>EWIS-PSU12A</t>
  </si>
  <si>
    <t>ME0333 PSU2412, Rack Mount</t>
  </si>
  <si>
    <t>EWIS-PSU6A</t>
  </si>
  <si>
    <t>ME0331 PSU2406, Rack Mount</t>
  </si>
  <si>
    <t>EWIS-RACK</t>
  </si>
  <si>
    <t>ME0200 Card Rack c/w Back Plane</t>
  </si>
  <si>
    <t>EWIS-SIB</t>
  </si>
  <si>
    <t>PA0657 Signal Interface PCB (SE9004)</t>
  </si>
  <si>
    <t>EWIS-SPIF</t>
  </si>
  <si>
    <t>PA0649 SPIF Card (SPIF9709)</t>
  </si>
  <si>
    <t>EWIS-STROBE</t>
  </si>
  <si>
    <t>FP1070 Kit - PA0697 Strobe Card - 8 Strobe 16 Relay (STRM9502)</t>
  </si>
  <si>
    <t>EWIS-TRAN-1x100</t>
  </si>
  <si>
    <t>PA0692 Transformer Module (1 x 100w)</t>
  </si>
  <si>
    <t>EWIS-TRAN-1x200</t>
  </si>
  <si>
    <t>PA0648 Transformer Module (1 x 200w)</t>
  </si>
  <si>
    <t>EWIS-TRAN-2x25</t>
  </si>
  <si>
    <t>PA0794 Transformer Module (2 x 25w)</t>
  </si>
  <si>
    <t>EWIS-TRAN-2x50</t>
  </si>
  <si>
    <t>PA0691 Transformer Module (2 x 50w)</t>
  </si>
  <si>
    <t>EWIS-TRAN-4x10</t>
  </si>
  <si>
    <t>PA0795 Transformer Module (4 x 10w)</t>
  </si>
  <si>
    <t>EWIS-TRAN-4x25</t>
  </si>
  <si>
    <t>PA0792 Transformer Module (4 x 25w)</t>
  </si>
  <si>
    <t>EWIS-WIP-TERM</t>
  </si>
  <si>
    <t>PA0916 WIP Termination Card (WTRM2000)</t>
  </si>
  <si>
    <t>EWIS-WIPCARD</t>
  </si>
  <si>
    <t>PA1144S WIP Card 30 WIP Slave(WIPS2017)</t>
  </si>
  <si>
    <t>I-2000</t>
  </si>
  <si>
    <t>I-2000 EWIS Panel</t>
  </si>
  <si>
    <t>Sprinklers &amp; ZoneCheck</t>
  </si>
  <si>
    <t>TPS Cable</t>
  </si>
  <si>
    <t>VESDA, OSID &amp; Ancillaries</t>
  </si>
  <si>
    <t>VSW-VSM4</t>
  </si>
  <si>
    <t>VESDA VSM4 Graphics Software</t>
  </si>
  <si>
    <t>ERECT SAFE ACCESS — EWP Hire Quote ESA1728 (AUD)  |  Flamesafe Fire Protection  |  Quoted 24 February 2026  |  Valid 30 days unless specified</t>
  </si>
  <si>
    <t>Contact: Maxine Butler — 0427 482 631  |  Sydney Metro only (other areas POA)  |  Daily rate first 3 days, weekly pro-rata from day 4  |  Diesel return-fill $3.50/L  |  All Plant complies with EWPAA Standards with logbooks</t>
  </si>
  <si>
    <t>⚠ Insurance Levy: 12% (waived if valid COC provided)  |  Environmental Levy: 1%  |  GST: 10% applied to (rate + levies)  |  Boom lifts: 2× safety harnesses @ $5 each per day/week  |  Transport (+ GST) within Sydney Metro only</t>
  </si>
  <si>
    <t>Machine Type</t>
  </si>
  <si>
    <t>Hire Cycle</t>
  </si>
  <si>
    <t>Base Rate (AUD)</t>
  </si>
  <si>
    <t>Insurance Levy 12%</t>
  </si>
  <si>
    <t>Enviro Levy 1%</t>
  </si>
  <si>
    <t>GST</t>
  </si>
  <si>
    <t>Total Inc GST (AUD)</t>
  </si>
  <si>
    <t>Electric Scissor</t>
  </si>
  <si>
    <t>19ft Electric Scissor Lift</t>
  </si>
  <si>
    <t>Daily</t>
  </si>
  <si>
    <t>Weekly</t>
  </si>
  <si>
    <t>26ft Electric Scissor Lift</t>
  </si>
  <si>
    <t>32ft Electric Scissor Lift</t>
  </si>
  <si>
    <t>40ft Electric Scissor Lift</t>
  </si>
  <si>
    <t>Electric Knuckle Boom</t>
  </si>
  <si>
    <t>30/34ft Electric Knuckle Boom</t>
  </si>
  <si>
    <t>45ft Electric Knuckle Boom</t>
  </si>
  <si>
    <t>Transport — Sydney Metro (+ GST)</t>
  </si>
  <si>
    <t>To Site (excl GST)</t>
  </si>
  <si>
    <t>Cost</t>
  </si>
  <si>
    <t>From Site (excl GST)</t>
  </si>
  <si>
    <t>To Site</t>
  </si>
  <si>
    <t>Return / off-hire from site</t>
  </si>
  <si>
    <t xml:space="preserve">Site Address </t>
  </si>
  <si>
    <t>Quote No</t>
  </si>
  <si>
    <t>Adjacent the Lift</t>
  </si>
  <si>
    <t>Within the tenancies</t>
  </si>
  <si>
    <t>Within the Male/Female Toilets</t>
  </si>
  <si>
    <t>Detector Supply only (Female Toilets)</t>
  </si>
  <si>
    <t>Detector Supply only (Within Level 5 Tenancy)</t>
  </si>
  <si>
    <t>Detector Supply ( Adjacent the lifts)</t>
  </si>
  <si>
    <t>Labour Rate 2 x techs</t>
  </si>
  <si>
    <t>Consumables</t>
  </si>
  <si>
    <t>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</si>
</sst>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.00_-;&quot;-$&quot;* #,##0.00_-;_-\$* \-??_-;_-@_-"/>
    <numFmt numFmtId="165" formatCode="0.0%"/>
    <numFmt numFmtId="166" formatCode="\$#,##0.00"/>
  </numFmts>
  <fonts count="19" x14ac:knownFonts="1">
    <font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b/>
      <sz val="12"/>
      <color rgb="FFFFFFFF"/>
      <name val="Aptos"/>
      <family val="2"/>
      <charset val="1"/>
    </font>
    <font>
      <b/>
      <sz val="12"/>
      <color rgb="FFFFFFFF"/>
      <name val="Aptos"/>
      <family val="2"/>
    </font>
    <font>
      <sz val="11"/>
      <name val="Aptos"/>
      <family val="2"/>
    </font>
    <font>
      <sz val="11"/>
      <color rgb="FF0000FF"/>
      <name val="Aptos"/>
      <family val="2"/>
    </font>
    <font>
      <b/>
      <sz val="11"/>
      <name val="Aptos"/>
      <family val="2"/>
    </font>
    <font>
      <i/>
      <sz val="10"/>
      <color rgb="FF595959"/>
      <name val="Aptos"/>
      <family val="2"/>
    </font>
    <font>
      <sz val="10"/>
      <name val="Aptos"/>
      <family val="2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color rgb="FF7B0000"/>
      <name val="Arial"/>
      <family val="2"/>
    </font>
    <font>
      <b/>
      <sz val="10"/>
      <name val="Arial"/>
      <family val="2"/>
    </font>
    <font>
      <b/>
      <sz val="12"/>
      <color rgb="FF595959"/>
      <name val="Aptos"/>
      <family val="2"/>
    </font>
    <font>
      <b/>
      <sz val="12"/>
      <color theme="1"/>
      <name val="Aptos"/>
      <family val="2"/>
    </font>
    <font>
      <b/>
      <sz val="14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3C5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003580"/>
        <bgColor rgb="FF1A3C5C"/>
      </patternFill>
    </fill>
    <fill>
      <patternFill patternType="solid">
        <fgColor rgb="FFC55A11"/>
        <bgColor rgb="FFE65000"/>
      </patternFill>
    </fill>
    <fill>
      <patternFill patternType="solid">
        <fgColor rgb="FFCC0000"/>
        <bgColor rgb="FF800000"/>
      </patternFill>
    </fill>
    <fill>
      <patternFill patternType="solid">
        <fgColor rgb="FF1A3C5C"/>
        <bgColor rgb="FF1F3864"/>
      </patternFill>
    </fill>
    <fill>
      <patternFill patternType="solid">
        <fgColor rgb="FFE65000"/>
        <bgColor rgb="FFC55A1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/>
    <xf numFmtId="0" fontId="11" fillId="6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166" fontId="12" fillId="4" borderId="3" xfId="0" applyNumberFormat="1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 wrapText="1"/>
    </xf>
    <xf numFmtId="166" fontId="12" fillId="3" borderId="3" xfId="0" applyNumberFormat="1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center" vertical="center" wrapText="1"/>
    </xf>
    <xf numFmtId="166" fontId="13" fillId="7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center" vertical="center" wrapText="1"/>
    </xf>
    <xf numFmtId="49" fontId="12" fillId="4" borderId="3" xfId="0" applyNumberFormat="1" applyFont="1" applyFill="1" applyBorder="1" applyAlignment="1">
      <alignment horizontal="right" vertical="center"/>
    </xf>
    <xf numFmtId="0" fontId="11" fillId="9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166" fontId="12" fillId="4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 wrapText="1"/>
    </xf>
    <xf numFmtId="166" fontId="12" fillId="3" borderId="0" xfId="0" applyNumberFormat="1" applyFont="1" applyFill="1" applyAlignment="1">
      <alignment horizontal="right" vertical="center"/>
    </xf>
    <xf numFmtId="0" fontId="12" fillId="4" borderId="0" xfId="0" applyFont="1" applyFill="1" applyAlignment="1"/>
    <xf numFmtId="166" fontId="0" fillId="4" borderId="0" xfId="0" applyNumberFormat="1" applyFill="1" applyAlignment="1">
      <alignment horizontal="right" vertical="center"/>
    </xf>
    <xf numFmtId="166" fontId="15" fillId="4" borderId="0" xfId="0" applyNumberFormat="1" applyFont="1" applyFill="1" applyAlignment="1">
      <alignment horizontal="right" vertical="center"/>
    </xf>
    <xf numFmtId="0" fontId="12" fillId="3" borderId="0" xfId="0" applyFont="1" applyFill="1" applyAlignment="1"/>
    <xf numFmtId="166" fontId="0" fillId="3" borderId="0" xfId="0" applyNumberFormat="1" applyFill="1" applyAlignment="1">
      <alignment horizontal="right" vertical="center"/>
    </xf>
    <xf numFmtId="166" fontId="15" fillId="3" borderId="0" xfId="0" applyNumberFormat="1" applyFont="1" applyFill="1" applyAlignment="1">
      <alignment horizontal="right" vertical="center"/>
    </xf>
    <xf numFmtId="0" fontId="0" fillId="4" borderId="0" xfId="0" applyFill="1" applyAlignment="1"/>
    <xf numFmtId="0" fontId="0" fillId="3" borderId="0" xfId="0" applyFill="1" applyAlignment="1"/>
    <xf numFmtId="0" fontId="17" fillId="0" borderId="8" xfId="0" applyFont="1" applyBorder="1" applyAlignment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 wrapText="1"/>
    </xf>
    <xf numFmtId="1" fontId="5" fillId="3" borderId="9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1" fontId="5" fillId="4" borderId="9" xfId="0" applyNumberFormat="1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1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right" vertical="center"/>
    </xf>
    <xf numFmtId="0" fontId="1" fillId="0" borderId="9" xfId="0" applyFont="1" applyBorder="1" applyAlignment="1"/>
    <xf numFmtId="0" fontId="6" fillId="0" borderId="9" xfId="0" applyFont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/>
    <xf numFmtId="0" fontId="18" fillId="11" borderId="5" xfId="0" applyFont="1" applyFill="1" applyBorder="1" applyAlignment="1">
      <alignment horizontal="center" wrapText="1"/>
    </xf>
    <xf numFmtId="0" fontId="18" fillId="11" borderId="6" xfId="0" applyFont="1" applyFill="1" applyBorder="1" applyAlignment="1">
      <alignment horizont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left" vertical="center" indent="1"/>
    </xf>
    <xf numFmtId="0" fontId="5" fillId="5" borderId="9" xfId="0" applyFont="1" applyFill="1" applyBorder="1" applyAlignment="1">
      <alignment vertical="center"/>
    </xf>
    <xf numFmtId="0" fontId="7" fillId="0" borderId="9" xfId="0" applyFont="1" applyBorder="1" applyAlignment="1">
      <alignment vertical="center" inden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right" vertical="center"/>
    </xf>
    <xf numFmtId="0" fontId="9" fillId="8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left" vertical="center" wrapText="1"/>
    </xf>
    <xf numFmtId="0" fontId="11" fillId="10" borderId="0" xfId="0" applyFont="1" applyFill="1" applyBorder="1" applyAlignment="1">
      <alignment horizontal="left" vertical="center" wrapText="1"/>
    </xf>
    <xf numFmtId="0" fontId="9" fillId="9" borderId="0" xfId="0" applyFont="1" applyFill="1" applyBorder="1" applyAlignment="1">
      <alignment horizontal="left" vertical="center" wrapText="1"/>
    </xf>
    <xf numFmtId="0" fontId="13" fillId="9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000"/>
      <rgbColor rgb="FF595959"/>
      <rgbColor rgb="FF969696"/>
      <rgbColor rgb="FF003580"/>
      <rgbColor rgb="FF339966"/>
      <rgbColor rgb="FF003300"/>
      <rgbColor rgb="FF333300"/>
      <rgbColor rgb="FFC55A11"/>
      <rgbColor rgb="FF993366"/>
      <rgbColor rgb="FF1A3C5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85" zoomScaleNormal="85" workbookViewId="0">
      <pane ySplit="4" topLeftCell="A5" activePane="bottomLeft" state="frozen"/>
      <selection pane="bottomLeft" activeCell="A12" sqref="A12"/>
    </sheetView>
  </sheetViews>
  <sheetFormatPr defaultColWidth="8.6328125" defaultRowHeight="16" x14ac:dyDescent="0.4"/>
  <cols>
    <col min="1" max="1" width="38" style="1" customWidth="1"/>
    <col min="2" max="2" width="32" style="1" customWidth="1"/>
    <col min="3" max="3" width="24.54296875" style="1" customWidth="1"/>
    <col min="4" max="8" width="14" style="1" customWidth="1"/>
    <col min="9" max="16384" width="8.6328125" style="1"/>
  </cols>
  <sheetData>
    <row r="1" spans="1:11" ht="30" customHeight="1" x14ac:dyDescent="0.4">
      <c r="A1" s="57" t="s">
        <v>0</v>
      </c>
      <c r="B1" s="57"/>
      <c r="C1" s="57"/>
      <c r="D1" s="57"/>
      <c r="E1" s="57"/>
      <c r="F1" s="57"/>
      <c r="G1" s="57"/>
      <c r="H1" s="57"/>
    </row>
    <row r="2" spans="1:11" ht="36.5" customHeight="1" x14ac:dyDescent="0.45">
      <c r="A2" s="53" t="s">
        <v>5687</v>
      </c>
      <c r="B2" s="62"/>
      <c r="C2" s="63"/>
      <c r="D2" s="63"/>
      <c r="E2" s="63"/>
      <c r="F2" s="63"/>
      <c r="G2" s="63"/>
      <c r="H2" s="63"/>
    </row>
    <row r="3" spans="1:11" ht="50.5" customHeight="1" x14ac:dyDescent="0.45">
      <c r="A3" s="54" t="s">
        <v>5688</v>
      </c>
      <c r="B3" s="34"/>
    </row>
    <row r="4" spans="1:11" ht="39" customHeight="1" x14ac:dyDescent="0.4">
      <c r="A4" s="35" t="s">
        <v>1</v>
      </c>
      <c r="B4" s="35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6" t="s">
        <v>8</v>
      </c>
    </row>
    <row r="5" spans="1:11" ht="58" customHeight="1" x14ac:dyDescent="0.4">
      <c r="A5" s="37" t="s">
        <v>5692</v>
      </c>
      <c r="B5" s="37" t="s">
        <v>342</v>
      </c>
      <c r="C5" s="38">
        <v>3</v>
      </c>
      <c r="D5" s="39">
        <f t="shared" ref="D5:D14" si="0">IFERROR(IF(B5="","",INDEX(CatalogCost,MATCH(B5,CatalogDisplay,0))),"")</f>
        <v>113.5</v>
      </c>
      <c r="E5" s="39">
        <f t="shared" ref="E5:E14" si="1">IF(OR(D5="",D5=0),"",D5*(1+F5))</f>
        <v>147.55000000000001</v>
      </c>
      <c r="F5" s="40">
        <v>0.3</v>
      </c>
      <c r="G5" s="39">
        <f t="shared" ref="G5:G14" si="2">IF(OR(E5="",C5="",C5=0),"",E5*C5)</f>
        <v>442.65000000000003</v>
      </c>
      <c r="H5" s="39">
        <f t="shared" ref="H5:H14" si="3">IF(OR(E5="",C5="",C5=0),"",(E5-D5)*C5)</f>
        <v>102.15000000000003</v>
      </c>
      <c r="J5" s="1">
        <v>2</v>
      </c>
      <c r="K5" s="1" t="s">
        <v>5689</v>
      </c>
    </row>
    <row r="6" spans="1:11" ht="58" customHeight="1" x14ac:dyDescent="0.4">
      <c r="A6" s="41" t="s">
        <v>5693</v>
      </c>
      <c r="B6" s="37" t="s">
        <v>342</v>
      </c>
      <c r="C6" s="42">
        <v>16</v>
      </c>
      <c r="D6" s="39">
        <f t="shared" si="0"/>
        <v>113.5</v>
      </c>
      <c r="E6" s="39">
        <f t="shared" si="1"/>
        <v>147.55000000000001</v>
      </c>
      <c r="F6" s="43">
        <v>0.3</v>
      </c>
      <c r="G6" s="39">
        <f t="shared" si="2"/>
        <v>2360.8000000000002</v>
      </c>
      <c r="H6" s="39">
        <f t="shared" si="3"/>
        <v>544.80000000000018</v>
      </c>
      <c r="J6" s="1">
        <v>16</v>
      </c>
      <c r="K6" s="1" t="s">
        <v>5690</v>
      </c>
    </row>
    <row r="7" spans="1:11" ht="58" customHeight="1" x14ac:dyDescent="0.4">
      <c r="A7" s="37" t="s">
        <v>5694</v>
      </c>
      <c r="B7" s="37" t="s">
        <v>342</v>
      </c>
      <c r="C7" s="38">
        <v>3</v>
      </c>
      <c r="D7" s="39">
        <f t="shared" si="0"/>
        <v>113.5</v>
      </c>
      <c r="E7" s="39">
        <f t="shared" si="1"/>
        <v>147.55000000000001</v>
      </c>
      <c r="F7" s="40">
        <v>0.3</v>
      </c>
      <c r="G7" s="39">
        <f t="shared" si="2"/>
        <v>442.65000000000003</v>
      </c>
      <c r="H7" s="39">
        <f t="shared" si="3"/>
        <v>102.15000000000003</v>
      </c>
      <c r="J7" s="1">
        <v>3</v>
      </c>
      <c r="K7" s="1" t="s">
        <v>5691</v>
      </c>
    </row>
    <row r="8" spans="1:11" ht="58" customHeight="1" x14ac:dyDescent="0.4">
      <c r="A8" s="41" t="s">
        <v>5695</v>
      </c>
      <c r="B8" s="41"/>
      <c r="C8" s="42">
        <v>16</v>
      </c>
      <c r="D8" s="39">
        <v>105</v>
      </c>
      <c r="E8" s="39">
        <v>130</v>
      </c>
      <c r="F8" s="43">
        <v>0.3</v>
      </c>
      <c r="G8" s="39">
        <f t="shared" si="2"/>
        <v>2080</v>
      </c>
      <c r="H8" s="39">
        <f t="shared" si="3"/>
        <v>400</v>
      </c>
    </row>
    <row r="9" spans="1:11" ht="58" customHeight="1" x14ac:dyDescent="0.4">
      <c r="A9" s="41" t="s">
        <v>5696</v>
      </c>
      <c r="B9" s="41"/>
      <c r="C9" s="42">
        <v>1</v>
      </c>
      <c r="D9" s="39">
        <v>200</v>
      </c>
      <c r="E9" s="39">
        <v>450</v>
      </c>
      <c r="F9" s="43">
        <v>0.3</v>
      </c>
      <c r="G9" s="39">
        <f t="shared" si="2"/>
        <v>450</v>
      </c>
      <c r="H9" s="39">
        <f t="shared" si="3"/>
        <v>250</v>
      </c>
    </row>
    <row r="10" spans="1:11" ht="58" customHeight="1" x14ac:dyDescent="0.4">
      <c r="A10" s="44" t="s">
        <v>5697</v>
      </c>
      <c r="B10" s="44"/>
      <c r="C10" s="45">
        <v>1</v>
      </c>
      <c r="D10" s="39">
        <v>0</v>
      </c>
      <c r="E10" s="39">
        <v>750</v>
      </c>
      <c r="F10" s="46">
        <v>0.3</v>
      </c>
      <c r="G10" s="39">
        <f t="shared" si="2"/>
        <v>750</v>
      </c>
      <c r="H10" s="39">
        <f t="shared" si="3"/>
        <v>750</v>
      </c>
    </row>
    <row r="11" spans="1:11" ht="58" customHeight="1" x14ac:dyDescent="0.4">
      <c r="A11" s="44"/>
      <c r="B11" s="44"/>
      <c r="C11" s="45"/>
      <c r="D11" s="39" t="str">
        <f t="shared" si="0"/>
        <v/>
      </c>
      <c r="E11" s="39" t="str">
        <f t="shared" si="1"/>
        <v/>
      </c>
      <c r="F11" s="46">
        <v>0.3</v>
      </c>
      <c r="G11" s="39" t="str">
        <f t="shared" si="2"/>
        <v/>
      </c>
      <c r="H11" s="39" t="str">
        <f t="shared" si="3"/>
        <v/>
      </c>
    </row>
    <row r="12" spans="1:11" ht="58" customHeight="1" x14ac:dyDescent="0.4">
      <c r="A12" s="44"/>
      <c r="B12" s="44"/>
      <c r="C12" s="45"/>
      <c r="D12" s="39" t="str">
        <f t="shared" si="0"/>
        <v/>
      </c>
      <c r="E12" s="39" t="str">
        <f t="shared" si="1"/>
        <v/>
      </c>
      <c r="F12" s="46">
        <v>0.3</v>
      </c>
      <c r="G12" s="39" t="str">
        <f t="shared" si="2"/>
        <v/>
      </c>
      <c r="H12" s="39" t="str">
        <f t="shared" si="3"/>
        <v/>
      </c>
    </row>
    <row r="13" spans="1:11" ht="58" customHeight="1" x14ac:dyDescent="0.4">
      <c r="A13" s="44"/>
      <c r="B13" s="44"/>
      <c r="C13" s="45"/>
      <c r="D13" s="39" t="str">
        <f t="shared" si="0"/>
        <v/>
      </c>
      <c r="E13" s="39" t="str">
        <f t="shared" si="1"/>
        <v/>
      </c>
      <c r="F13" s="46">
        <v>0.3</v>
      </c>
      <c r="G13" s="39" t="str">
        <f t="shared" si="2"/>
        <v/>
      </c>
      <c r="H13" s="39" t="str">
        <f t="shared" si="3"/>
        <v/>
      </c>
    </row>
    <row r="14" spans="1:11" ht="58" customHeight="1" x14ac:dyDescent="0.4">
      <c r="A14" s="44"/>
      <c r="B14" s="44"/>
      <c r="C14" s="45"/>
      <c r="D14" s="39" t="str">
        <f t="shared" si="0"/>
        <v/>
      </c>
      <c r="E14" s="39" t="str">
        <f t="shared" si="1"/>
        <v/>
      </c>
      <c r="F14" s="46">
        <v>0.3</v>
      </c>
      <c r="G14" s="39" t="str">
        <f t="shared" si="2"/>
        <v/>
      </c>
      <c r="H14" s="39" t="str">
        <f t="shared" si="3"/>
        <v/>
      </c>
    </row>
    <row r="15" spans="1:11" ht="25.5" customHeight="1" x14ac:dyDescent="0.4">
      <c r="A15" s="58" t="s">
        <v>9</v>
      </c>
      <c r="B15" s="58"/>
      <c r="C15" s="58"/>
      <c r="D15" s="58"/>
      <c r="E15" s="58"/>
      <c r="F15" s="58"/>
      <c r="G15" s="47">
        <f>SUM(G5:G14)</f>
        <v>6526.1</v>
      </c>
      <c r="H15" s="47">
        <f>SUM(H5:H14)</f>
        <v>2149.1000000000004</v>
      </c>
    </row>
    <row r="16" spans="1:11" x14ac:dyDescent="0.4">
      <c r="A16" s="48"/>
      <c r="B16" s="48"/>
      <c r="C16" s="48"/>
      <c r="D16" s="48"/>
      <c r="E16" s="48"/>
      <c r="F16" s="48"/>
      <c r="G16" s="48"/>
      <c r="H16" s="48"/>
    </row>
    <row r="17" spans="1:8" ht="25.5" customHeight="1" x14ac:dyDescent="0.4">
      <c r="A17" s="59" t="s">
        <v>10</v>
      </c>
      <c r="B17" s="59"/>
      <c r="C17" s="59"/>
      <c r="D17" s="59"/>
      <c r="E17" s="59"/>
      <c r="F17" s="59"/>
      <c r="G17" s="59"/>
      <c r="H17" s="59"/>
    </row>
    <row r="18" spans="1:8" ht="21.75" customHeight="1" x14ac:dyDescent="0.4">
      <c r="A18" s="49" t="s">
        <v>11</v>
      </c>
      <c r="B18" s="60"/>
      <c r="C18" s="60"/>
      <c r="D18" s="60"/>
      <c r="E18" s="61" t="s">
        <v>12</v>
      </c>
      <c r="F18" s="61"/>
      <c r="G18" s="61"/>
      <c r="H18" s="61"/>
    </row>
    <row r="19" spans="1:8" ht="25.5" customHeight="1" x14ac:dyDescent="0.4">
      <c r="A19" s="50" t="s">
        <v>13</v>
      </c>
      <c r="B19" s="50" t="s">
        <v>14</v>
      </c>
      <c r="C19" s="50" t="s">
        <v>15</v>
      </c>
      <c r="D19" s="51"/>
      <c r="E19" s="52"/>
      <c r="F19" s="52"/>
      <c r="G19" s="52"/>
      <c r="H19" s="50" t="s">
        <v>16</v>
      </c>
    </row>
    <row r="20" spans="1:8" x14ac:dyDescent="0.4">
      <c r="A20" s="3" t="str">
        <f>IF($B$18="","",IFERROR(INDEX(Catalog!$A$4:$A$1296,MATCH(1,Catalog!$H$4:$H$1296,0)),""))</f>
        <v/>
      </c>
      <c r="B20" s="3" t="str">
        <f>IF($B$18="","",IFERROR(INDEX(Catalog!$B$4:$B$1296,MATCH(1,Catalog!$H$4:$H$1296,0)),""))</f>
        <v/>
      </c>
      <c r="C20" s="3" t="str">
        <f>IF($B$18="","",IFERROR(INDEX(Catalog!$C$4:$C$1296,MATCH(1,Catalog!$H$4:$H$1296,0)),""))</f>
        <v/>
      </c>
      <c r="H20" s="4" t="str">
        <f>IF($B$18="","",IFERROR(INDEX(Catalog!$D$4:$D$1296,MATCH(1,Catalog!$H$4:$H$1296,0)),""))</f>
        <v/>
      </c>
    </row>
    <row r="21" spans="1:8" x14ac:dyDescent="0.4">
      <c r="A21" s="3" t="str">
        <f>IF($B$18="","",IFERROR(INDEX(Catalog!$A$4:$A$1296,MATCH(2,Catalog!$H$4:$H$1296,0)),""))</f>
        <v/>
      </c>
      <c r="B21" s="3" t="str">
        <f>IF($B$18="","",IFERROR(INDEX(Catalog!$B$4:$B$1296,MATCH(2,Catalog!$H$4:$H$1296,0)),""))</f>
        <v/>
      </c>
      <c r="C21" s="3" t="str">
        <f>IF($B$18="","",IFERROR(INDEX(Catalog!$C$4:$C$1296,MATCH(2,Catalog!$H$4:$H$1296,0)),""))</f>
        <v/>
      </c>
      <c r="H21" s="4" t="str">
        <f>IF($B$18="","",IFERROR(INDEX(Catalog!$D$4:$D$1296,MATCH(2,Catalog!$H$4:$H$1296,0)),""))</f>
        <v/>
      </c>
    </row>
    <row r="22" spans="1:8" x14ac:dyDescent="0.4">
      <c r="A22" s="3" t="str">
        <f>IF($B$18="","",IFERROR(INDEX(Catalog!$A$4:$A$1296,MATCH(3,Catalog!$H$4:$H$1296,0)),""))</f>
        <v/>
      </c>
      <c r="B22" s="3" t="str">
        <f>IF($B$18="","",IFERROR(INDEX(Catalog!$B$4:$B$1296,MATCH(3,Catalog!$H$4:$H$1296,0)),""))</f>
        <v/>
      </c>
      <c r="C22" s="3" t="str">
        <f>IF($B$18="","",IFERROR(INDEX(Catalog!$C$4:$C$1296,MATCH(3,Catalog!$H$4:$H$1296,0)),""))</f>
        <v/>
      </c>
      <c r="H22" s="4" t="str">
        <f>IF($B$18="","",IFERROR(INDEX(Catalog!$D$4:$D$1296,MATCH(3,Catalog!$H$4:$H$1296,0)),""))</f>
        <v/>
      </c>
    </row>
    <row r="23" spans="1:8" x14ac:dyDescent="0.4">
      <c r="A23" s="3" t="str">
        <f>IF($B$18="","",IFERROR(INDEX(Catalog!$A$4:$A$1296,MATCH(4,Catalog!$H$4:$H$1296,0)),""))</f>
        <v/>
      </c>
      <c r="B23" s="3" t="str">
        <f>IF($B$18="","",IFERROR(INDEX(Catalog!$B$4:$B$1296,MATCH(4,Catalog!$H$4:$H$1296,0)),""))</f>
        <v/>
      </c>
      <c r="C23" s="3" t="str">
        <f>IF($B$18="","",IFERROR(INDEX(Catalog!$C$4:$C$1296,MATCH(4,Catalog!$H$4:$H$1296,0)),""))</f>
        <v/>
      </c>
      <c r="H23" s="4" t="str">
        <f>IF($B$18="","",IFERROR(INDEX(Catalog!$D$4:$D$1296,MATCH(4,Catalog!$H$4:$H$1296,0)),""))</f>
        <v/>
      </c>
    </row>
    <row r="24" spans="1:8" x14ac:dyDescent="0.4">
      <c r="A24" s="3" t="str">
        <f>IF($B$18="","",IFERROR(INDEX(Catalog!$A$4:$A$1296,MATCH(5,Catalog!$H$4:$H$1296,0)),""))</f>
        <v/>
      </c>
      <c r="B24" s="3" t="str">
        <f>IF($B$18="","",IFERROR(INDEX(Catalog!$B$4:$B$1296,MATCH(5,Catalog!$H$4:$H$1296,0)),""))</f>
        <v/>
      </c>
      <c r="C24" s="3" t="str">
        <f>IF($B$18="","",IFERROR(INDEX(Catalog!$C$4:$C$1296,MATCH(5,Catalog!$H$4:$H$1296,0)),""))</f>
        <v/>
      </c>
      <c r="H24" s="4" t="str">
        <f>IF($B$18="","",IFERROR(INDEX(Catalog!$D$4:$D$1296,MATCH(5,Catalog!$H$4:$H$1296,0)),""))</f>
        <v/>
      </c>
    </row>
    <row r="25" spans="1:8" x14ac:dyDescent="0.4">
      <c r="A25" s="3" t="str">
        <f>IF($B$18="","",IFERROR(INDEX(Catalog!$A$4:$A$1296,MATCH(6,Catalog!$H$4:$H$1296,0)),""))</f>
        <v/>
      </c>
      <c r="B25" s="3" t="str">
        <f>IF($B$18="","",IFERROR(INDEX(Catalog!$B$4:$B$1296,MATCH(6,Catalog!$H$4:$H$1296,0)),""))</f>
        <v/>
      </c>
      <c r="C25" s="3" t="str">
        <f>IF($B$18="","",IFERROR(INDEX(Catalog!$C$4:$C$1296,MATCH(6,Catalog!$H$4:$H$1296,0)),""))</f>
        <v/>
      </c>
      <c r="H25" s="4" t="str">
        <f>IF($B$18="","",IFERROR(INDEX(Catalog!$D$4:$D$1296,MATCH(6,Catalog!$H$4:$H$1296,0)),""))</f>
        <v/>
      </c>
    </row>
    <row r="26" spans="1:8" x14ac:dyDescent="0.4">
      <c r="A26" s="3" t="str">
        <f>IF($B$18="","",IFERROR(INDEX(Catalog!$A$4:$A$1296,MATCH(7,Catalog!$H$4:$H$1296,0)),""))</f>
        <v/>
      </c>
      <c r="B26" s="3" t="str">
        <f>IF($B$18="","",IFERROR(INDEX(Catalog!$B$4:$B$1296,MATCH(7,Catalog!$H$4:$H$1296,0)),""))</f>
        <v/>
      </c>
      <c r="C26" s="3" t="str">
        <f>IF($B$18="","",IFERROR(INDEX(Catalog!$C$4:$C$1296,MATCH(7,Catalog!$H$4:$H$1296,0)),""))</f>
        <v/>
      </c>
      <c r="H26" s="4" t="str">
        <f>IF($B$18="","",IFERROR(INDEX(Catalog!$D$4:$D$1296,MATCH(7,Catalog!$H$4:$H$1296,0)),""))</f>
        <v/>
      </c>
    </row>
    <row r="27" spans="1:8" x14ac:dyDescent="0.4">
      <c r="A27" s="3" t="str">
        <f>IF($B$18="","",IFERROR(INDEX(Catalog!$A$4:$A$1296,MATCH(8,Catalog!$H$4:$H$1296,0)),""))</f>
        <v/>
      </c>
      <c r="B27" s="3" t="str">
        <f>IF($B$18="","",IFERROR(INDEX(Catalog!$B$4:$B$1296,MATCH(8,Catalog!$H$4:$H$1296,0)),""))</f>
        <v/>
      </c>
      <c r="C27" s="3" t="str">
        <f>IF($B$18="","",IFERROR(INDEX(Catalog!$C$4:$C$1296,MATCH(8,Catalog!$H$4:$H$1296,0)),""))</f>
        <v/>
      </c>
      <c r="H27" s="4" t="str">
        <f>IF($B$18="","",IFERROR(INDEX(Catalog!$D$4:$D$1296,MATCH(8,Catalog!$H$4:$H$1296,0)),""))</f>
        <v/>
      </c>
    </row>
    <row r="28" spans="1:8" x14ac:dyDescent="0.4">
      <c r="A28" s="3" t="str">
        <f>IF($B$18="","",IFERROR(INDEX(Catalog!$A$4:$A$1296,MATCH(9,Catalog!$H$4:$H$1296,0)),""))</f>
        <v/>
      </c>
      <c r="B28" s="3" t="str">
        <f>IF($B$18="","",IFERROR(INDEX(Catalog!$B$4:$B$1296,MATCH(9,Catalog!$H$4:$H$1296,0)),""))</f>
        <v/>
      </c>
      <c r="C28" s="3" t="str">
        <f>IF($B$18="","",IFERROR(INDEX(Catalog!$C$4:$C$1296,MATCH(9,Catalog!$H$4:$H$1296,0)),""))</f>
        <v/>
      </c>
      <c r="H28" s="4" t="str">
        <f>IF($B$18="","",IFERROR(INDEX(Catalog!$D$4:$D$1296,MATCH(9,Catalog!$H$4:$H$1296,0)),""))</f>
        <v/>
      </c>
    </row>
    <row r="29" spans="1:8" x14ac:dyDescent="0.4">
      <c r="A29" s="3" t="str">
        <f>IF($B$18="","",IFERROR(INDEX(Catalog!$A$4:$A$1296,MATCH(10,Catalog!$H$4:$H$1296,0)),""))</f>
        <v/>
      </c>
      <c r="B29" s="3" t="str">
        <f>IF($B$18="","",IFERROR(INDEX(Catalog!$B$4:$B$1296,MATCH(10,Catalog!$H$4:$H$1296,0)),""))</f>
        <v/>
      </c>
      <c r="C29" s="3" t="str">
        <f>IF($B$18="","",IFERROR(INDEX(Catalog!$C$4:$C$1296,MATCH(10,Catalog!$H$4:$H$1296,0)),""))</f>
        <v/>
      </c>
      <c r="H29" s="4" t="str">
        <f>IF($B$18="","",IFERROR(INDEX(Catalog!$D$4:$D$1296,MATCH(10,Catalog!$H$4:$H$1296,0)),""))</f>
        <v/>
      </c>
    </row>
    <row r="30" spans="1:8" x14ac:dyDescent="0.4">
      <c r="A30" s="3" t="str">
        <f>IF($B$18="","",IFERROR(INDEX(Catalog!$A$4:$A$1296,MATCH(11,Catalog!$H$4:$H$1296,0)),""))</f>
        <v/>
      </c>
      <c r="B30" s="3" t="str">
        <f>IF($B$18="","",IFERROR(INDEX(Catalog!$B$4:$B$1296,MATCH(11,Catalog!$H$4:$H$1296,0)),""))</f>
        <v/>
      </c>
      <c r="C30" s="3" t="str">
        <f>IF($B$18="","",IFERROR(INDEX(Catalog!$C$4:$C$1296,MATCH(11,Catalog!$H$4:$H$1296,0)),""))</f>
        <v/>
      </c>
      <c r="H30" s="4" t="str">
        <f>IF($B$18="","",IFERROR(INDEX(Catalog!$D$4:$D$1296,MATCH(11,Catalog!$H$4:$H$1296,0)),""))</f>
        <v/>
      </c>
    </row>
    <row r="31" spans="1:8" x14ac:dyDescent="0.4">
      <c r="A31" s="3" t="str">
        <f>IF($B$18="","",IFERROR(INDEX(Catalog!$A$4:$A$1296,MATCH(12,Catalog!$H$4:$H$1296,0)),""))</f>
        <v/>
      </c>
      <c r="B31" s="3" t="str">
        <f>IF($B$18="","",IFERROR(INDEX(Catalog!$B$4:$B$1296,MATCH(12,Catalog!$H$4:$H$1296,0)),""))</f>
        <v/>
      </c>
      <c r="C31" s="3" t="str">
        <f>IF($B$18="","",IFERROR(INDEX(Catalog!$C$4:$C$1296,MATCH(12,Catalog!$H$4:$H$1296,0)),""))</f>
        <v/>
      </c>
      <c r="H31" s="4" t="str">
        <f>IF($B$18="","",IFERROR(INDEX(Catalog!$D$4:$D$1296,MATCH(12,Catalog!$H$4:$H$1296,0)),""))</f>
        <v/>
      </c>
    </row>
    <row r="32" spans="1:8" x14ac:dyDescent="0.4">
      <c r="A32" s="3" t="str">
        <f>IF($B$18="","",IFERROR(INDEX(Catalog!$A$4:$A$1296,MATCH(13,Catalog!$H$4:$H$1296,0)),""))</f>
        <v/>
      </c>
      <c r="B32" s="3" t="str">
        <f>IF($B$18="","",IFERROR(INDEX(Catalog!$B$4:$B$1296,MATCH(13,Catalog!$H$4:$H$1296,0)),""))</f>
        <v/>
      </c>
      <c r="C32" s="3" t="str">
        <f>IF($B$18="","",IFERROR(INDEX(Catalog!$C$4:$C$1296,MATCH(13,Catalog!$H$4:$H$1296,0)),""))</f>
        <v/>
      </c>
      <c r="H32" s="4" t="str">
        <f>IF($B$18="","",IFERROR(INDEX(Catalog!$D$4:$D$1296,MATCH(13,Catalog!$H$4:$H$1296,0)),""))</f>
        <v/>
      </c>
    </row>
    <row r="33" spans="1:8" x14ac:dyDescent="0.4">
      <c r="A33" s="3" t="str">
        <f>IF($B$18="","",IFERROR(INDEX(Catalog!$A$4:$A$1296,MATCH(14,Catalog!$H$4:$H$1296,0)),""))</f>
        <v/>
      </c>
      <c r="B33" s="3" t="str">
        <f>IF($B$18="","",IFERROR(INDEX(Catalog!$B$4:$B$1296,MATCH(14,Catalog!$H$4:$H$1296,0)),""))</f>
        <v/>
      </c>
      <c r="C33" s="3" t="str">
        <f>IF($B$18="","",IFERROR(INDEX(Catalog!$C$4:$C$1296,MATCH(14,Catalog!$H$4:$H$1296,0)),""))</f>
        <v/>
      </c>
      <c r="H33" s="4" t="str">
        <f>IF($B$18="","",IFERROR(INDEX(Catalog!$D$4:$D$1296,MATCH(14,Catalog!$H$4:$H$1296,0)),""))</f>
        <v/>
      </c>
    </row>
    <row r="34" spans="1:8" x14ac:dyDescent="0.4">
      <c r="A34" s="3" t="str">
        <f>IF($B$18="","",IFERROR(INDEX(Catalog!$A$4:$A$1296,MATCH(15,Catalog!$H$4:$H$1296,0)),""))</f>
        <v/>
      </c>
      <c r="B34" s="3" t="str">
        <f>IF($B$18="","",IFERROR(INDEX(Catalog!$B$4:$B$1296,MATCH(15,Catalog!$H$4:$H$1296,0)),""))</f>
        <v/>
      </c>
      <c r="C34" s="3" t="str">
        <f>IF($B$18="","",IFERROR(INDEX(Catalog!$C$4:$C$1296,MATCH(15,Catalog!$H$4:$H$1296,0)),""))</f>
        <v/>
      </c>
      <c r="H34" s="4" t="str">
        <f>IF($B$18="","",IFERROR(INDEX(Catalog!$D$4:$D$1296,MATCH(15,Catalog!$H$4:$H$1296,0)),""))</f>
        <v/>
      </c>
    </row>
  </sheetData>
  <mergeCells count="6">
    <mergeCell ref="A1:H1"/>
    <mergeCell ref="A15:F15"/>
    <mergeCell ref="A17:H17"/>
    <mergeCell ref="B18:D18"/>
    <mergeCell ref="E18:H18"/>
    <mergeCell ref="B2:H2"/>
  </mergeCells>
  <dataValidations count="1">
    <dataValidation type="list" allowBlank="1" showInputMessage="1" errorTitle="Not in catalog" error="Select a product from the dropdown, or use the Find Product search below." promptTitle="Product" prompt="Type to search or pick from list" sqref="B5:B14" xr:uid="{00000000-0002-0000-0000-000000000000}">
      <formula1>ProductList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96"/>
  <sheetViews>
    <sheetView topLeftCell="D1" zoomScaleNormal="100" workbookViewId="0">
      <pane ySplit="3" topLeftCell="A1281" activePane="bottomLeft" state="frozen"/>
      <selection pane="bottomLeft" activeCell="D1297" sqref="A1297:XFD1304"/>
    </sheetView>
  </sheetViews>
  <sheetFormatPr defaultColWidth="8.6328125" defaultRowHeight="14.5" x14ac:dyDescent="0.35"/>
  <cols>
    <col min="1" max="2" width="22" customWidth="1"/>
    <col min="3" max="3" width="60" customWidth="1"/>
    <col min="4" max="4" width="18" customWidth="1"/>
    <col min="5" max="5" width="131.81640625" bestFit="1" customWidth="1"/>
    <col min="6" max="6" width="60" hidden="1" customWidth="1"/>
    <col min="7" max="7" width="8" hidden="1" customWidth="1"/>
    <col min="8" max="8" width="52.36328125" customWidth="1"/>
  </cols>
  <sheetData>
    <row r="1" spans="1:8" ht="27.75" customHeight="1" x14ac:dyDescent="0.35">
      <c r="A1" s="64" t="s">
        <v>17</v>
      </c>
      <c r="B1" s="64"/>
      <c r="C1" s="64"/>
      <c r="D1" s="64"/>
      <c r="E1" s="64"/>
    </row>
    <row r="3" spans="1:8" ht="30" customHeight="1" x14ac:dyDescent="0.35">
      <c r="A3" s="36" t="s">
        <v>13</v>
      </c>
      <c r="B3" s="36" t="s">
        <v>14</v>
      </c>
      <c r="C3" s="36" t="s">
        <v>15</v>
      </c>
      <c r="D3" s="36" t="s">
        <v>18</v>
      </c>
      <c r="E3" s="36" t="s">
        <v>19</v>
      </c>
      <c r="F3" s="2" t="s">
        <v>20</v>
      </c>
      <c r="G3" s="2" t="s">
        <v>21</v>
      </c>
      <c r="H3" s="2" t="s">
        <v>22</v>
      </c>
    </row>
    <row r="4" spans="1:8" x14ac:dyDescent="0.35">
      <c r="A4" s="56" t="s">
        <v>23</v>
      </c>
      <c r="B4" s="56" t="s">
        <v>24</v>
      </c>
      <c r="C4" s="56" t="s">
        <v>25</v>
      </c>
      <c r="D4" s="39">
        <v>4150</v>
      </c>
      <c r="E4" s="56" t="s">
        <v>26</v>
      </c>
      <c r="F4" s="55" t="s">
        <v>27</v>
      </c>
      <c r="G4" s="5">
        <f>IF(Estimation!$B$18="",0,IF(ISNUMBER(SEARCH(LOWER(Estimation!$B$18),F4)),1,0))</f>
        <v>0</v>
      </c>
      <c r="H4" s="5" t="str">
        <f>IF(G4=1,SUM($G$4:G4),"")</f>
        <v/>
      </c>
    </row>
    <row r="5" spans="1:8" x14ac:dyDescent="0.35">
      <c r="A5" s="56" t="s">
        <v>23</v>
      </c>
      <c r="B5" s="56" t="s">
        <v>28</v>
      </c>
      <c r="C5" s="56" t="s">
        <v>29</v>
      </c>
      <c r="D5" s="39">
        <v>4391</v>
      </c>
      <c r="E5" s="56" t="s">
        <v>30</v>
      </c>
      <c r="F5" s="55" t="s">
        <v>31</v>
      </c>
      <c r="G5" s="5">
        <f>IF(Estimation!$B$18="",0,IF(ISNUMBER(SEARCH(LOWER(Estimation!$B$18),F5)),1,0))</f>
        <v>0</v>
      </c>
      <c r="H5" s="5" t="str">
        <f>IF(G5=1,SUM($G$4:G5),"")</f>
        <v/>
      </c>
    </row>
    <row r="6" spans="1:8" x14ac:dyDescent="0.35">
      <c r="A6" s="56" t="s">
        <v>23</v>
      </c>
      <c r="B6" s="56" t="s">
        <v>32</v>
      </c>
      <c r="C6" s="56" t="s">
        <v>33</v>
      </c>
      <c r="D6" s="39">
        <v>3900</v>
      </c>
      <c r="E6" s="56" t="s">
        <v>34</v>
      </c>
      <c r="F6" s="55" t="s">
        <v>35</v>
      </c>
      <c r="G6" s="5">
        <f>IF(Estimation!$B$18="",0,IF(ISNUMBER(SEARCH(LOWER(Estimation!$B$18),F6)),1,0))</f>
        <v>0</v>
      </c>
      <c r="H6" s="5" t="str">
        <f>IF(G6=1,SUM($G$4:G6),"")</f>
        <v/>
      </c>
    </row>
    <row r="7" spans="1:8" x14ac:dyDescent="0.35">
      <c r="A7" s="56" t="s">
        <v>23</v>
      </c>
      <c r="B7" s="56" t="s">
        <v>36</v>
      </c>
      <c r="C7" s="56" t="s">
        <v>37</v>
      </c>
      <c r="D7" s="39">
        <v>3990</v>
      </c>
      <c r="E7" s="56" t="s">
        <v>38</v>
      </c>
      <c r="F7" s="55" t="s">
        <v>39</v>
      </c>
      <c r="G7" s="5">
        <f>IF(Estimation!$B$18="",0,IF(ISNUMBER(SEARCH(LOWER(Estimation!$B$18),F7)),1,0))</f>
        <v>0</v>
      </c>
      <c r="H7" s="5" t="str">
        <f>IF(G7=1,SUM($G$4:G7),"")</f>
        <v/>
      </c>
    </row>
    <row r="8" spans="1:8" x14ac:dyDescent="0.35">
      <c r="A8" s="56" t="s">
        <v>23</v>
      </c>
      <c r="B8" s="56" t="s">
        <v>40</v>
      </c>
      <c r="C8" s="56" t="s">
        <v>41</v>
      </c>
      <c r="D8" s="39">
        <v>5872</v>
      </c>
      <c r="E8" s="56" t="s">
        <v>42</v>
      </c>
      <c r="F8" s="55" t="s">
        <v>43</v>
      </c>
      <c r="G8" s="5">
        <f>IF(Estimation!$B$18="",0,IF(ISNUMBER(SEARCH(LOWER(Estimation!$B$18),F8)),1,0))</f>
        <v>0</v>
      </c>
      <c r="H8" s="5" t="str">
        <f>IF(G8=1,SUM($G$4:G8),"")</f>
        <v/>
      </c>
    </row>
    <row r="9" spans="1:8" x14ac:dyDescent="0.35">
      <c r="A9" s="56" t="s">
        <v>23</v>
      </c>
      <c r="B9" s="56" t="s">
        <v>44</v>
      </c>
      <c r="C9" s="56" t="s">
        <v>45</v>
      </c>
      <c r="D9" s="39">
        <v>4853</v>
      </c>
      <c r="E9" s="56" t="s">
        <v>46</v>
      </c>
      <c r="F9" s="55" t="s">
        <v>47</v>
      </c>
      <c r="G9" s="5">
        <f>IF(Estimation!$B$18="",0,IF(ISNUMBER(SEARCH(LOWER(Estimation!$B$18),F9)),1,0))</f>
        <v>0</v>
      </c>
      <c r="H9" s="5" t="str">
        <f>IF(G9=1,SUM($G$4:G9),"")</f>
        <v/>
      </c>
    </row>
    <row r="10" spans="1:8" x14ac:dyDescent="0.35">
      <c r="A10" s="56" t="s">
        <v>23</v>
      </c>
      <c r="B10" s="56" t="s">
        <v>48</v>
      </c>
      <c r="C10" s="56" t="s">
        <v>49</v>
      </c>
      <c r="D10" s="39">
        <v>4231</v>
      </c>
      <c r="E10" s="56" t="s">
        <v>50</v>
      </c>
      <c r="F10" s="55" t="s">
        <v>51</v>
      </c>
      <c r="G10" s="5">
        <f>IF(Estimation!$B$18="",0,IF(ISNUMBER(SEARCH(LOWER(Estimation!$B$18),F10)),1,0))</f>
        <v>0</v>
      </c>
      <c r="H10" s="5" t="str">
        <f>IF(G10=1,SUM($G$4:G10),"")</f>
        <v/>
      </c>
    </row>
    <row r="11" spans="1:8" x14ac:dyDescent="0.35">
      <c r="A11" s="56" t="s">
        <v>23</v>
      </c>
      <c r="B11" s="56" t="s">
        <v>52</v>
      </c>
      <c r="C11" s="56" t="s">
        <v>53</v>
      </c>
      <c r="D11" s="39">
        <v>5094</v>
      </c>
      <c r="E11" s="56" t="s">
        <v>54</v>
      </c>
      <c r="F11" s="55" t="s">
        <v>55</v>
      </c>
      <c r="G11" s="5">
        <f>IF(Estimation!$B$18="",0,IF(ISNUMBER(SEARCH(LOWER(Estimation!$B$18),F11)),1,0))</f>
        <v>0</v>
      </c>
      <c r="H11" s="5" t="str">
        <f>IF(G11=1,SUM($G$4:G11),"")</f>
        <v/>
      </c>
    </row>
    <row r="12" spans="1:8" x14ac:dyDescent="0.35">
      <c r="A12" s="56" t="s">
        <v>23</v>
      </c>
      <c r="B12" s="56" t="s">
        <v>56</v>
      </c>
      <c r="C12" s="56" t="s">
        <v>57</v>
      </c>
      <c r="D12" s="39">
        <v>4730</v>
      </c>
      <c r="E12" s="56" t="s">
        <v>58</v>
      </c>
      <c r="F12" s="55" t="s">
        <v>59</v>
      </c>
      <c r="G12" s="5">
        <f>IF(Estimation!$B$18="",0,IF(ISNUMBER(SEARCH(LOWER(Estimation!$B$18),F12)),1,0))</f>
        <v>0</v>
      </c>
      <c r="H12" s="5" t="str">
        <f>IF(G12=1,SUM($G$4:G12),"")</f>
        <v/>
      </c>
    </row>
    <row r="13" spans="1:8" x14ac:dyDescent="0.35">
      <c r="A13" s="56" t="s">
        <v>23</v>
      </c>
      <c r="B13" s="56" t="s">
        <v>60</v>
      </c>
      <c r="C13" s="56" t="s">
        <v>61</v>
      </c>
      <c r="D13" s="39">
        <v>5593</v>
      </c>
      <c r="E13" s="56" t="s">
        <v>62</v>
      </c>
      <c r="F13" s="55" t="s">
        <v>63</v>
      </c>
      <c r="G13" s="5">
        <f>IF(Estimation!$B$18="",0,IF(ISNUMBER(SEARCH(LOWER(Estimation!$B$18),F13)),1,0))</f>
        <v>0</v>
      </c>
      <c r="H13" s="5" t="str">
        <f>IF(G13=1,SUM($G$4:G13),"")</f>
        <v/>
      </c>
    </row>
    <row r="14" spans="1:8" x14ac:dyDescent="0.35">
      <c r="A14" s="56" t="s">
        <v>23</v>
      </c>
      <c r="B14" s="56" t="s">
        <v>64</v>
      </c>
      <c r="C14" s="56" t="s">
        <v>65</v>
      </c>
      <c r="D14" s="39">
        <v>5411</v>
      </c>
      <c r="E14" s="56" t="s">
        <v>66</v>
      </c>
      <c r="F14" s="55" t="s">
        <v>67</v>
      </c>
      <c r="G14" s="5">
        <f>IF(Estimation!$B$18="",0,IF(ISNUMBER(SEARCH(LOWER(Estimation!$B$18),F14)),1,0))</f>
        <v>0</v>
      </c>
      <c r="H14" s="5" t="str">
        <f>IF(G14=1,SUM($G$4:G14),"")</f>
        <v/>
      </c>
    </row>
    <row r="15" spans="1:8" x14ac:dyDescent="0.35">
      <c r="A15" s="56" t="s">
        <v>23</v>
      </c>
      <c r="B15" s="56" t="s">
        <v>68</v>
      </c>
      <c r="C15" s="56" t="s">
        <v>69</v>
      </c>
      <c r="D15" s="39">
        <v>4971</v>
      </c>
      <c r="E15" s="56" t="s">
        <v>70</v>
      </c>
      <c r="F15" s="55" t="s">
        <v>71</v>
      </c>
      <c r="G15" s="5">
        <f>IF(Estimation!$B$18="",0,IF(ISNUMBER(SEARCH(LOWER(Estimation!$B$18),F15)),1,0))</f>
        <v>0</v>
      </c>
      <c r="H15" s="5" t="str">
        <f>IF(G15=1,SUM($G$4:G15),"")</f>
        <v/>
      </c>
    </row>
    <row r="16" spans="1:8" x14ac:dyDescent="0.35">
      <c r="A16" s="56" t="s">
        <v>23</v>
      </c>
      <c r="B16" s="56" t="s">
        <v>72</v>
      </c>
      <c r="C16" s="56" t="s">
        <v>73</v>
      </c>
      <c r="D16" s="39">
        <v>5834</v>
      </c>
      <c r="E16" s="56" t="s">
        <v>74</v>
      </c>
      <c r="F16" s="55" t="s">
        <v>75</v>
      </c>
      <c r="G16" s="5">
        <f>IF(Estimation!$B$18="",0,IF(ISNUMBER(SEARCH(LOWER(Estimation!$B$18),F16)),1,0))</f>
        <v>0</v>
      </c>
      <c r="H16" s="5" t="str">
        <f>IF(G16=1,SUM($G$4:G16),"")</f>
        <v/>
      </c>
    </row>
    <row r="17" spans="1:8" x14ac:dyDescent="0.35">
      <c r="A17" s="56" t="s">
        <v>23</v>
      </c>
      <c r="B17" s="56" t="s">
        <v>76</v>
      </c>
      <c r="C17" s="56" t="s">
        <v>77</v>
      </c>
      <c r="D17" s="39">
        <v>6049</v>
      </c>
      <c r="E17" s="56" t="s">
        <v>78</v>
      </c>
      <c r="F17" s="55" t="s">
        <v>79</v>
      </c>
      <c r="G17" s="5">
        <f>IF(Estimation!$B$18="",0,IF(ISNUMBER(SEARCH(LOWER(Estimation!$B$18),F17)),1,0))</f>
        <v>0</v>
      </c>
      <c r="H17" s="5" t="str">
        <f>IF(G17=1,SUM($G$4:G17),"")</f>
        <v/>
      </c>
    </row>
    <row r="18" spans="1:8" x14ac:dyDescent="0.35">
      <c r="A18" s="56" t="s">
        <v>23</v>
      </c>
      <c r="B18" s="56" t="s">
        <v>80</v>
      </c>
      <c r="C18" s="56" t="s">
        <v>81</v>
      </c>
      <c r="D18" s="39">
        <v>5652</v>
      </c>
      <c r="E18" s="56" t="s">
        <v>82</v>
      </c>
      <c r="F18" s="55" t="s">
        <v>83</v>
      </c>
      <c r="G18" s="5">
        <f>IF(Estimation!$B$18="",0,IF(ISNUMBER(SEARCH(LOWER(Estimation!$B$18),F18)),1,0))</f>
        <v>0</v>
      </c>
      <c r="H18" s="5" t="str">
        <f>IF(G18=1,SUM($G$4:G18),"")</f>
        <v/>
      </c>
    </row>
    <row r="19" spans="1:8" x14ac:dyDescent="0.35">
      <c r="A19" s="56" t="s">
        <v>23</v>
      </c>
      <c r="B19" s="56" t="s">
        <v>84</v>
      </c>
      <c r="C19" s="56" t="s">
        <v>85</v>
      </c>
      <c r="D19" s="39">
        <v>5188</v>
      </c>
      <c r="E19" s="56" t="s">
        <v>86</v>
      </c>
      <c r="F19" s="55" t="s">
        <v>87</v>
      </c>
      <c r="G19" s="5">
        <f>IF(Estimation!$B$18="",0,IF(ISNUMBER(SEARCH(LOWER(Estimation!$B$18),F19)),1,0))</f>
        <v>0</v>
      </c>
      <c r="H19" s="5" t="str">
        <f>IF(G19=1,SUM($G$4:G19),"")</f>
        <v/>
      </c>
    </row>
    <row r="20" spans="1:8" x14ac:dyDescent="0.35">
      <c r="A20" s="56" t="s">
        <v>23</v>
      </c>
      <c r="B20" s="56" t="s">
        <v>88</v>
      </c>
      <c r="C20" s="56" t="s">
        <v>89</v>
      </c>
      <c r="D20" s="39">
        <v>6266</v>
      </c>
      <c r="E20" s="56" t="s">
        <v>90</v>
      </c>
      <c r="F20" s="55" t="s">
        <v>91</v>
      </c>
      <c r="G20" s="5">
        <f>IF(Estimation!$B$18="",0,IF(ISNUMBER(SEARCH(LOWER(Estimation!$B$18),F20)),1,0))</f>
        <v>0</v>
      </c>
      <c r="H20" s="5" t="str">
        <f>IF(G20=1,SUM($G$4:G20),"")</f>
        <v/>
      </c>
    </row>
    <row r="21" spans="1:8" x14ac:dyDescent="0.35">
      <c r="A21" s="56" t="s">
        <v>23</v>
      </c>
      <c r="B21" s="56" t="s">
        <v>92</v>
      </c>
      <c r="C21" s="56" t="s">
        <v>93</v>
      </c>
      <c r="D21" s="39">
        <v>6065</v>
      </c>
      <c r="E21" s="56" t="s">
        <v>94</v>
      </c>
      <c r="F21" s="55" t="s">
        <v>95</v>
      </c>
      <c r="G21" s="5">
        <f>IF(Estimation!$B$18="",0,IF(ISNUMBER(SEARCH(LOWER(Estimation!$B$18),F21)),1,0))</f>
        <v>0</v>
      </c>
      <c r="H21" s="5" t="str">
        <f>IF(G21=1,SUM($G$4:G21),"")</f>
        <v/>
      </c>
    </row>
    <row r="22" spans="1:8" x14ac:dyDescent="0.35">
      <c r="A22" s="56" t="s">
        <v>23</v>
      </c>
      <c r="B22" s="56" t="s">
        <v>96</v>
      </c>
      <c r="C22" s="56" t="s">
        <v>97</v>
      </c>
      <c r="D22" s="39">
        <v>6929</v>
      </c>
      <c r="E22" s="56" t="s">
        <v>98</v>
      </c>
      <c r="F22" s="55" t="s">
        <v>99</v>
      </c>
      <c r="G22" s="5">
        <f>IF(Estimation!$B$18="",0,IF(ISNUMBER(SEARCH(LOWER(Estimation!$B$18),F22)),1,0))</f>
        <v>0</v>
      </c>
      <c r="H22" s="5" t="str">
        <f>IF(G22=1,SUM($G$4:G22),"")</f>
        <v/>
      </c>
    </row>
    <row r="23" spans="1:8" x14ac:dyDescent="0.35">
      <c r="A23" s="56" t="s">
        <v>23</v>
      </c>
      <c r="B23" s="56" t="s">
        <v>100</v>
      </c>
      <c r="C23" s="56" t="s">
        <v>101</v>
      </c>
      <c r="D23" s="39">
        <v>6306</v>
      </c>
      <c r="E23" s="56" t="s">
        <v>102</v>
      </c>
      <c r="F23" s="55" t="s">
        <v>103</v>
      </c>
      <c r="G23" s="5">
        <f>IF(Estimation!$B$18="",0,IF(ISNUMBER(SEARCH(LOWER(Estimation!$B$18),F23)),1,0))</f>
        <v>0</v>
      </c>
      <c r="H23" s="5" t="str">
        <f>IF(G23=1,SUM($G$4:G23),"")</f>
        <v/>
      </c>
    </row>
    <row r="24" spans="1:8" x14ac:dyDescent="0.35">
      <c r="A24" s="56" t="s">
        <v>23</v>
      </c>
      <c r="B24" s="56" t="s">
        <v>104</v>
      </c>
      <c r="C24" s="56" t="s">
        <v>105</v>
      </c>
      <c r="D24" s="39">
        <v>7170</v>
      </c>
      <c r="E24" s="56" t="s">
        <v>106</v>
      </c>
      <c r="F24" s="55" t="s">
        <v>107</v>
      </c>
      <c r="G24" s="5">
        <f>IF(Estimation!$B$18="",0,IF(ISNUMBER(SEARCH(LOWER(Estimation!$B$18),F24)),1,0))</f>
        <v>0</v>
      </c>
      <c r="H24" s="5" t="str">
        <f>IF(G24=1,SUM($G$4:G24),"")</f>
        <v/>
      </c>
    </row>
    <row r="25" spans="1:8" x14ac:dyDescent="0.35">
      <c r="A25" s="56" t="s">
        <v>23</v>
      </c>
      <c r="B25" s="56" t="s">
        <v>108</v>
      </c>
      <c r="C25" s="56" t="s">
        <v>109</v>
      </c>
      <c r="D25" s="39">
        <v>7386</v>
      </c>
      <c r="E25" s="56" t="s">
        <v>110</v>
      </c>
      <c r="F25" s="55" t="s">
        <v>111</v>
      </c>
      <c r="G25" s="5">
        <f>IF(Estimation!$B$18="",0,IF(ISNUMBER(SEARCH(LOWER(Estimation!$B$18),F25)),1,0))</f>
        <v>0</v>
      </c>
      <c r="H25" s="5" t="str">
        <f>IF(G25=1,SUM($G$4:G25),"")</f>
        <v/>
      </c>
    </row>
    <row r="26" spans="1:8" x14ac:dyDescent="0.35">
      <c r="A26" s="56" t="s">
        <v>23</v>
      </c>
      <c r="B26" s="56" t="s">
        <v>112</v>
      </c>
      <c r="C26" s="56" t="s">
        <v>113</v>
      </c>
      <c r="D26" s="39">
        <v>6523</v>
      </c>
      <c r="E26" s="56" t="s">
        <v>114</v>
      </c>
      <c r="F26" s="55" t="s">
        <v>115</v>
      </c>
      <c r="G26" s="5">
        <f>IF(Estimation!$B$18="",0,IF(ISNUMBER(SEARCH(LOWER(Estimation!$B$18),F26)),1,0))</f>
        <v>0</v>
      </c>
      <c r="H26" s="5" t="str">
        <f>IF(G26=1,SUM($G$4:G26),"")</f>
        <v/>
      </c>
    </row>
    <row r="27" spans="1:8" x14ac:dyDescent="0.35">
      <c r="A27" s="56" t="s">
        <v>23</v>
      </c>
      <c r="B27" s="56" t="s">
        <v>116</v>
      </c>
      <c r="C27" s="56" t="s">
        <v>117</v>
      </c>
      <c r="D27" s="39">
        <v>7386</v>
      </c>
      <c r="E27" s="56" t="s">
        <v>118</v>
      </c>
      <c r="F27" s="55" t="s">
        <v>119</v>
      </c>
      <c r="G27" s="5">
        <f>IF(Estimation!$B$18="",0,IF(ISNUMBER(SEARCH(LOWER(Estimation!$B$18),F27)),1,0))</f>
        <v>0</v>
      </c>
      <c r="H27" s="5" t="str">
        <f>IF(G27=1,SUM($G$4:G27),"")</f>
        <v/>
      </c>
    </row>
    <row r="28" spans="1:8" x14ac:dyDescent="0.35">
      <c r="A28" s="56" t="s">
        <v>23</v>
      </c>
      <c r="B28" s="56" t="s">
        <v>120</v>
      </c>
      <c r="C28" s="56" t="s">
        <v>121</v>
      </c>
      <c r="D28" s="39">
        <v>7601</v>
      </c>
      <c r="E28" s="56" t="s">
        <v>122</v>
      </c>
      <c r="F28" s="55" t="s">
        <v>123</v>
      </c>
      <c r="G28" s="5">
        <f>IF(Estimation!$B$18="",0,IF(ISNUMBER(SEARCH(LOWER(Estimation!$B$18),F28)),1,0))</f>
        <v>0</v>
      </c>
      <c r="H28" s="5" t="str">
        <f>IF(G28=1,SUM($G$4:G28),"")</f>
        <v/>
      </c>
    </row>
    <row r="29" spans="1:8" x14ac:dyDescent="0.35">
      <c r="A29" s="56" t="s">
        <v>23</v>
      </c>
      <c r="B29" s="56" t="s">
        <v>124</v>
      </c>
      <c r="C29" s="56" t="s">
        <v>125</v>
      </c>
      <c r="D29" s="39">
        <v>6475</v>
      </c>
      <c r="E29" s="56" t="s">
        <v>126</v>
      </c>
      <c r="F29" s="55" t="s">
        <v>127</v>
      </c>
      <c r="G29" s="5">
        <f>IF(Estimation!$B$18="",0,IF(ISNUMBER(SEARCH(LOWER(Estimation!$B$18),F29)),1,0))</f>
        <v>0</v>
      </c>
      <c r="H29" s="5" t="str">
        <f>IF(G29=1,SUM($G$4:G29),"")</f>
        <v/>
      </c>
    </row>
    <row r="30" spans="1:8" x14ac:dyDescent="0.35">
      <c r="A30" s="56" t="s">
        <v>23</v>
      </c>
      <c r="B30" s="56" t="s">
        <v>128</v>
      </c>
      <c r="C30" s="56" t="s">
        <v>129</v>
      </c>
      <c r="D30" s="39">
        <v>6717</v>
      </c>
      <c r="E30" s="56" t="s">
        <v>130</v>
      </c>
      <c r="F30" s="55" t="s">
        <v>131</v>
      </c>
      <c r="G30" s="5">
        <f>IF(Estimation!$B$18="",0,IF(ISNUMBER(SEARCH(LOWER(Estimation!$B$18),F30)),1,0))</f>
        <v>0</v>
      </c>
      <c r="H30" s="5" t="str">
        <f>IF(G30=1,SUM($G$4:G30),"")</f>
        <v/>
      </c>
    </row>
    <row r="31" spans="1:8" x14ac:dyDescent="0.35">
      <c r="A31" s="56" t="s">
        <v>23</v>
      </c>
      <c r="B31" s="56" t="s">
        <v>132</v>
      </c>
      <c r="C31" s="56" t="s">
        <v>133</v>
      </c>
      <c r="D31" s="39">
        <v>6932</v>
      </c>
      <c r="E31" s="56" t="s">
        <v>134</v>
      </c>
      <c r="F31" s="55" t="s">
        <v>135</v>
      </c>
      <c r="G31" s="5">
        <f>IF(Estimation!$B$18="",0,IF(ISNUMBER(SEARCH(LOWER(Estimation!$B$18),F31)),1,0))</f>
        <v>0</v>
      </c>
      <c r="H31" s="5" t="str">
        <f>IF(G31=1,SUM($G$4:G31),"")</f>
        <v/>
      </c>
    </row>
    <row r="32" spans="1:8" x14ac:dyDescent="0.35">
      <c r="A32" s="56" t="s">
        <v>23</v>
      </c>
      <c r="B32" s="56" t="s">
        <v>136</v>
      </c>
      <c r="C32" s="56" t="s">
        <v>137</v>
      </c>
      <c r="D32" s="39">
        <v>6475</v>
      </c>
      <c r="E32" s="56" t="s">
        <v>138</v>
      </c>
      <c r="F32" s="55" t="s">
        <v>139</v>
      </c>
      <c r="G32" s="5">
        <f>IF(Estimation!$B$18="",0,IF(ISNUMBER(SEARCH(LOWER(Estimation!$B$18),F32)),1,0))</f>
        <v>0</v>
      </c>
      <c r="H32" s="5" t="str">
        <f>IF(G32=1,SUM($G$4:G32),"")</f>
        <v/>
      </c>
    </row>
    <row r="33" spans="1:8" x14ac:dyDescent="0.35">
      <c r="A33" s="56" t="s">
        <v>23</v>
      </c>
      <c r="B33" s="56" t="s">
        <v>140</v>
      </c>
      <c r="C33" s="56" t="s">
        <v>141</v>
      </c>
      <c r="D33" s="39">
        <v>6717</v>
      </c>
      <c r="E33" s="56" t="s">
        <v>142</v>
      </c>
      <c r="F33" s="55" t="s">
        <v>143</v>
      </c>
      <c r="G33" s="5">
        <f>IF(Estimation!$B$18="",0,IF(ISNUMBER(SEARCH(LOWER(Estimation!$B$18),F33)),1,0))</f>
        <v>0</v>
      </c>
      <c r="H33" s="5" t="str">
        <f>IF(G33=1,SUM($G$4:G33),"")</f>
        <v/>
      </c>
    </row>
    <row r="34" spans="1:8" x14ac:dyDescent="0.35">
      <c r="A34" s="56" t="s">
        <v>23</v>
      </c>
      <c r="B34" s="56" t="s">
        <v>144</v>
      </c>
      <c r="C34" s="56" t="s">
        <v>145</v>
      </c>
      <c r="D34" s="39">
        <v>6932</v>
      </c>
      <c r="E34" s="56" t="s">
        <v>146</v>
      </c>
      <c r="F34" s="55" t="s">
        <v>147</v>
      </c>
      <c r="G34" s="5">
        <f>IF(Estimation!$B$18="",0,IF(ISNUMBER(SEARCH(LOWER(Estimation!$B$18),F34)),1,0))</f>
        <v>0</v>
      </c>
      <c r="H34" s="5" t="str">
        <f>IF(G34=1,SUM($G$4:G34),"")</f>
        <v/>
      </c>
    </row>
    <row r="35" spans="1:8" x14ac:dyDescent="0.35">
      <c r="A35" s="56" t="s">
        <v>23</v>
      </c>
      <c r="B35" s="56" t="s">
        <v>148</v>
      </c>
      <c r="C35" s="56" t="s">
        <v>149</v>
      </c>
      <c r="D35" s="39">
        <v>7102</v>
      </c>
      <c r="E35" s="56" t="s">
        <v>150</v>
      </c>
      <c r="F35" s="55" t="s">
        <v>151</v>
      </c>
      <c r="G35" s="5">
        <f>IF(Estimation!$B$18="",0,IF(ISNUMBER(SEARCH(LOWER(Estimation!$B$18),F35)),1,0))</f>
        <v>0</v>
      </c>
      <c r="H35" s="5" t="str">
        <f>IF(G35=1,SUM($G$4:G35),"")</f>
        <v/>
      </c>
    </row>
    <row r="36" spans="1:8" x14ac:dyDescent="0.35">
      <c r="A36" s="56" t="s">
        <v>23</v>
      </c>
      <c r="B36" s="56" t="s">
        <v>152</v>
      </c>
      <c r="C36" s="56" t="s">
        <v>153</v>
      </c>
      <c r="D36" s="39">
        <v>7342</v>
      </c>
      <c r="E36" s="56" t="s">
        <v>154</v>
      </c>
      <c r="F36" s="55" t="s">
        <v>155</v>
      </c>
      <c r="G36" s="5">
        <f>IF(Estimation!$B$18="",0,IF(ISNUMBER(SEARCH(LOWER(Estimation!$B$18),F36)),1,0))</f>
        <v>0</v>
      </c>
      <c r="H36" s="5" t="str">
        <f>IF(G36=1,SUM($G$4:G36),"")</f>
        <v/>
      </c>
    </row>
    <row r="37" spans="1:8" x14ac:dyDescent="0.35">
      <c r="A37" s="56" t="s">
        <v>23</v>
      </c>
      <c r="B37" s="56" t="s">
        <v>156</v>
      </c>
      <c r="C37" s="56" t="s">
        <v>157</v>
      </c>
      <c r="D37" s="39">
        <v>7559</v>
      </c>
      <c r="E37" s="56" t="s">
        <v>158</v>
      </c>
      <c r="F37" s="55" t="s">
        <v>159</v>
      </c>
      <c r="G37" s="5">
        <f>IF(Estimation!$B$18="",0,IF(ISNUMBER(SEARCH(LOWER(Estimation!$B$18),F37)),1,0))</f>
        <v>0</v>
      </c>
      <c r="H37" s="5" t="str">
        <f>IF(G37=1,SUM($G$4:G37),"")</f>
        <v/>
      </c>
    </row>
    <row r="38" spans="1:8" x14ac:dyDescent="0.35">
      <c r="A38" s="56" t="s">
        <v>23</v>
      </c>
      <c r="B38" s="56" t="s">
        <v>160</v>
      </c>
      <c r="C38" s="56" t="s">
        <v>161</v>
      </c>
      <c r="D38" s="39">
        <v>4442</v>
      </c>
      <c r="E38" s="56" t="s">
        <v>162</v>
      </c>
      <c r="F38" s="55" t="s">
        <v>163</v>
      </c>
      <c r="G38" s="5">
        <f>IF(Estimation!$B$18="",0,IF(ISNUMBER(SEARCH(LOWER(Estimation!$B$18),F38)),1,0))</f>
        <v>0</v>
      </c>
      <c r="H38" s="5" t="str">
        <f>IF(G38=1,SUM($G$4:G38),"")</f>
        <v/>
      </c>
    </row>
    <row r="39" spans="1:8" x14ac:dyDescent="0.35">
      <c r="A39" s="56" t="s">
        <v>23</v>
      </c>
      <c r="B39" s="56" t="s">
        <v>164</v>
      </c>
      <c r="C39" s="56" t="s">
        <v>165</v>
      </c>
      <c r="D39" s="39">
        <v>4698</v>
      </c>
      <c r="E39" s="56" t="s">
        <v>166</v>
      </c>
      <c r="F39" s="55" t="s">
        <v>167</v>
      </c>
      <c r="G39" s="5">
        <f>IF(Estimation!$B$18="",0,IF(ISNUMBER(SEARCH(LOWER(Estimation!$B$18),F39)),1,0))</f>
        <v>0</v>
      </c>
      <c r="H39" s="5" t="str">
        <f>IF(G39=1,SUM($G$4:G39),"")</f>
        <v/>
      </c>
    </row>
    <row r="40" spans="1:8" x14ac:dyDescent="0.35">
      <c r="A40" s="56" t="s">
        <v>23</v>
      </c>
      <c r="B40" s="56" t="s">
        <v>168</v>
      </c>
      <c r="C40" s="56" t="s">
        <v>169</v>
      </c>
      <c r="D40" s="39">
        <v>5364</v>
      </c>
      <c r="E40" s="56" t="s">
        <v>170</v>
      </c>
      <c r="F40" s="55" t="s">
        <v>171</v>
      </c>
      <c r="G40" s="5">
        <f>IF(Estimation!$B$18="",0,IF(ISNUMBER(SEARCH(LOWER(Estimation!$B$18),F40)),1,0))</f>
        <v>0</v>
      </c>
      <c r="H40" s="5" t="str">
        <f>IF(G40=1,SUM($G$4:G40),"")</f>
        <v/>
      </c>
    </row>
    <row r="41" spans="1:8" x14ac:dyDescent="0.35">
      <c r="A41" s="56" t="s">
        <v>23</v>
      </c>
      <c r="B41" s="56" t="s">
        <v>172</v>
      </c>
      <c r="C41" s="56" t="s">
        <v>173</v>
      </c>
      <c r="D41" s="39">
        <v>5605</v>
      </c>
      <c r="E41" s="56" t="s">
        <v>174</v>
      </c>
      <c r="F41" s="55" t="s">
        <v>175</v>
      </c>
      <c r="G41" s="5">
        <f>IF(Estimation!$B$18="",0,IF(ISNUMBER(SEARCH(LOWER(Estimation!$B$18),F41)),1,0))</f>
        <v>0</v>
      </c>
      <c r="H41" s="5" t="str">
        <f>IF(G41=1,SUM($G$4:G41),"")</f>
        <v/>
      </c>
    </row>
    <row r="42" spans="1:8" x14ac:dyDescent="0.35">
      <c r="A42" s="56" t="s">
        <v>23</v>
      </c>
      <c r="B42" s="56" t="s">
        <v>176</v>
      </c>
      <c r="C42" s="56" t="s">
        <v>177</v>
      </c>
      <c r="D42" s="39">
        <v>6504</v>
      </c>
      <c r="E42" s="56" t="s">
        <v>178</v>
      </c>
      <c r="F42" s="55" t="s">
        <v>179</v>
      </c>
      <c r="G42" s="5">
        <f>IF(Estimation!$B$18="",0,IF(ISNUMBER(SEARCH(LOWER(Estimation!$B$18),F42)),1,0))</f>
        <v>0</v>
      </c>
      <c r="H42" s="5" t="str">
        <f>IF(G42=1,SUM($G$4:G42),"")</f>
        <v/>
      </c>
    </row>
    <row r="43" spans="1:8" x14ac:dyDescent="0.35">
      <c r="A43" s="56" t="s">
        <v>23</v>
      </c>
      <c r="B43" s="56" t="s">
        <v>180</v>
      </c>
      <c r="C43" s="56" t="s">
        <v>181</v>
      </c>
      <c r="D43" s="39">
        <v>6745</v>
      </c>
      <c r="E43" s="56" t="s">
        <v>182</v>
      </c>
      <c r="F43" s="55" t="s">
        <v>183</v>
      </c>
      <c r="G43" s="5">
        <f>IF(Estimation!$B$18="",0,IF(ISNUMBER(SEARCH(LOWER(Estimation!$B$18),F43)),1,0))</f>
        <v>0</v>
      </c>
      <c r="H43" s="5" t="str">
        <f>IF(G43=1,SUM($G$4:G43),"")</f>
        <v/>
      </c>
    </row>
    <row r="44" spans="1:8" x14ac:dyDescent="0.35">
      <c r="A44" s="56" t="s">
        <v>23</v>
      </c>
      <c r="B44" s="56" t="s">
        <v>184</v>
      </c>
      <c r="C44" s="56" t="s">
        <v>185</v>
      </c>
      <c r="D44" s="39">
        <v>907</v>
      </c>
      <c r="E44" s="56" t="s">
        <v>186</v>
      </c>
      <c r="F44" s="55" t="s">
        <v>187</v>
      </c>
      <c r="G44" s="5">
        <f>IF(Estimation!$B$18="",0,IF(ISNUMBER(SEARCH(LOWER(Estimation!$B$18),F44)),1,0))</f>
        <v>0</v>
      </c>
      <c r="H44" s="5" t="str">
        <f>IF(G44=1,SUM($G$4:G44),"")</f>
        <v/>
      </c>
    </row>
    <row r="45" spans="1:8" x14ac:dyDescent="0.35">
      <c r="A45" s="56" t="s">
        <v>23</v>
      </c>
      <c r="B45" s="56" t="s">
        <v>188</v>
      </c>
      <c r="C45" s="56" t="s">
        <v>189</v>
      </c>
      <c r="D45" s="39">
        <v>20</v>
      </c>
      <c r="E45" s="56" t="s">
        <v>190</v>
      </c>
      <c r="F45" s="55" t="s">
        <v>191</v>
      </c>
      <c r="G45" s="5">
        <f>IF(Estimation!$B$18="",0,IF(ISNUMBER(SEARCH(LOWER(Estimation!$B$18),F45)),1,0))</f>
        <v>0</v>
      </c>
      <c r="H45" s="5" t="str">
        <f>IF(G45=1,SUM($G$4:G45),"")</f>
        <v/>
      </c>
    </row>
    <row r="46" spans="1:8" x14ac:dyDescent="0.35">
      <c r="A46" s="56" t="s">
        <v>23</v>
      </c>
      <c r="B46" s="56" t="s">
        <v>192</v>
      </c>
      <c r="C46" s="56" t="s">
        <v>193</v>
      </c>
      <c r="D46" s="39">
        <v>1260</v>
      </c>
      <c r="E46" s="56" t="s">
        <v>194</v>
      </c>
      <c r="F46" s="55" t="s">
        <v>195</v>
      </c>
      <c r="G46" s="5">
        <f>IF(Estimation!$B$18="",0,IF(ISNUMBER(SEARCH(LOWER(Estimation!$B$18),F46)),1,0))</f>
        <v>0</v>
      </c>
      <c r="H46" s="5" t="str">
        <f>IF(G46=1,SUM($G$4:G46),"")</f>
        <v/>
      </c>
    </row>
    <row r="47" spans="1:8" x14ac:dyDescent="0.35">
      <c r="A47" s="56" t="s">
        <v>23</v>
      </c>
      <c r="B47" s="56" t="s">
        <v>196</v>
      </c>
      <c r="C47" s="56" t="s">
        <v>197</v>
      </c>
      <c r="D47" s="39">
        <v>835</v>
      </c>
      <c r="E47" s="56" t="s">
        <v>198</v>
      </c>
      <c r="F47" s="55" t="s">
        <v>199</v>
      </c>
      <c r="G47" s="5">
        <f>IF(Estimation!$B$18="",0,IF(ISNUMBER(SEARCH(LOWER(Estimation!$B$18),F47)),1,0))</f>
        <v>0</v>
      </c>
      <c r="H47" s="5" t="str">
        <f>IF(G47=1,SUM($G$4:G47),"")</f>
        <v/>
      </c>
    </row>
    <row r="48" spans="1:8" x14ac:dyDescent="0.35">
      <c r="A48" s="56" t="s">
        <v>23</v>
      </c>
      <c r="B48" s="56" t="s">
        <v>200</v>
      </c>
      <c r="C48" s="56" t="s">
        <v>201</v>
      </c>
      <c r="D48" s="39">
        <v>877</v>
      </c>
      <c r="E48" s="56" t="s">
        <v>202</v>
      </c>
      <c r="F48" s="55" t="s">
        <v>203</v>
      </c>
      <c r="G48" s="5">
        <f>IF(Estimation!$B$18="",0,IF(ISNUMBER(SEARCH(LOWER(Estimation!$B$18),F48)),1,0))</f>
        <v>0</v>
      </c>
      <c r="H48" s="5" t="str">
        <f>IF(G48=1,SUM($G$4:G48),"")</f>
        <v/>
      </c>
    </row>
    <row r="49" spans="1:8" x14ac:dyDescent="0.35">
      <c r="A49" s="56" t="s">
        <v>23</v>
      </c>
      <c r="B49" s="56" t="s">
        <v>204</v>
      </c>
      <c r="C49" s="56" t="s">
        <v>205</v>
      </c>
      <c r="D49" s="39">
        <v>599</v>
      </c>
      <c r="E49" s="56" t="s">
        <v>206</v>
      </c>
      <c r="F49" s="55" t="s">
        <v>207</v>
      </c>
      <c r="G49" s="5">
        <f>IF(Estimation!$B$18="",0,IF(ISNUMBER(SEARCH(LOWER(Estimation!$B$18),F49)),1,0))</f>
        <v>0</v>
      </c>
      <c r="H49" s="5" t="str">
        <f>IF(G49=1,SUM($G$4:G49),"")</f>
        <v/>
      </c>
    </row>
    <row r="50" spans="1:8" x14ac:dyDescent="0.35">
      <c r="A50" s="56" t="s">
        <v>23</v>
      </c>
      <c r="B50" s="56" t="s">
        <v>208</v>
      </c>
      <c r="C50" s="56" t="s">
        <v>209</v>
      </c>
      <c r="D50" s="39">
        <v>7000</v>
      </c>
      <c r="E50" s="56" t="s">
        <v>210</v>
      </c>
      <c r="F50" s="55" t="s">
        <v>211</v>
      </c>
      <c r="G50" s="5">
        <f>IF(Estimation!$B$18="",0,IF(ISNUMBER(SEARCH(LOWER(Estimation!$B$18),F50)),1,0))</f>
        <v>0</v>
      </c>
      <c r="H50" s="5" t="str">
        <f>IF(G50=1,SUM($G$4:G50),"")</f>
        <v/>
      </c>
    </row>
    <row r="51" spans="1:8" x14ac:dyDescent="0.35">
      <c r="A51" s="56" t="s">
        <v>23</v>
      </c>
      <c r="B51" s="56" t="s">
        <v>212</v>
      </c>
      <c r="C51" s="56" t="s">
        <v>213</v>
      </c>
      <c r="D51" s="39">
        <v>168</v>
      </c>
      <c r="E51" s="56" t="s">
        <v>214</v>
      </c>
      <c r="F51" s="55" t="s">
        <v>215</v>
      </c>
      <c r="G51" s="5">
        <f>IF(Estimation!$B$18="",0,IF(ISNUMBER(SEARCH(LOWER(Estimation!$B$18),F51)),1,0))</f>
        <v>0</v>
      </c>
      <c r="H51" s="5" t="str">
        <f>IF(G51=1,SUM($G$4:G51),"")</f>
        <v/>
      </c>
    </row>
    <row r="52" spans="1:8" x14ac:dyDescent="0.35">
      <c r="A52" s="56" t="s">
        <v>23</v>
      </c>
      <c r="B52" s="56" t="s">
        <v>216</v>
      </c>
      <c r="C52" s="56" t="s">
        <v>217</v>
      </c>
      <c r="D52" s="39">
        <v>231</v>
      </c>
      <c r="E52" s="56" t="s">
        <v>218</v>
      </c>
      <c r="F52" s="55" t="s">
        <v>219</v>
      </c>
      <c r="G52" s="5">
        <f>IF(Estimation!$B$18="",0,IF(ISNUMBER(SEARCH(LOWER(Estimation!$B$18),F52)),1,0))</f>
        <v>0</v>
      </c>
      <c r="H52" s="5" t="str">
        <f>IF(G52=1,SUM($G$4:G52),"")</f>
        <v/>
      </c>
    </row>
    <row r="53" spans="1:8" x14ac:dyDescent="0.35">
      <c r="A53" s="56" t="s">
        <v>23</v>
      </c>
      <c r="B53" s="56" t="s">
        <v>220</v>
      </c>
      <c r="C53" s="56" t="s">
        <v>221</v>
      </c>
      <c r="D53" s="39">
        <v>347</v>
      </c>
      <c r="E53" s="56" t="s">
        <v>222</v>
      </c>
      <c r="F53" s="55" t="s">
        <v>223</v>
      </c>
      <c r="G53" s="5">
        <f>IF(Estimation!$B$18="",0,IF(ISNUMBER(SEARCH(LOWER(Estimation!$B$18),F53)),1,0))</f>
        <v>0</v>
      </c>
      <c r="H53" s="5" t="str">
        <f>IF(G53=1,SUM($G$4:G53),"")</f>
        <v/>
      </c>
    </row>
    <row r="54" spans="1:8" x14ac:dyDescent="0.35">
      <c r="A54" s="56" t="s">
        <v>23</v>
      </c>
      <c r="B54" s="56" t="s">
        <v>224</v>
      </c>
      <c r="C54" s="56" t="s">
        <v>225</v>
      </c>
      <c r="D54" s="39">
        <v>347</v>
      </c>
      <c r="E54" s="56" t="s">
        <v>226</v>
      </c>
      <c r="F54" s="55" t="s">
        <v>227</v>
      </c>
      <c r="G54" s="5">
        <f>IF(Estimation!$B$18="",0,IF(ISNUMBER(SEARCH(LOWER(Estimation!$B$18),F54)),1,0))</f>
        <v>0</v>
      </c>
      <c r="H54" s="5" t="str">
        <f>IF(G54=1,SUM($G$4:G54),"")</f>
        <v/>
      </c>
    </row>
    <row r="55" spans="1:8" x14ac:dyDescent="0.35">
      <c r="A55" s="56" t="s">
        <v>23</v>
      </c>
      <c r="B55" s="56" t="s">
        <v>228</v>
      </c>
      <c r="C55" s="56" t="s">
        <v>229</v>
      </c>
      <c r="D55" s="39">
        <v>125</v>
      </c>
      <c r="E55" s="56" t="s">
        <v>230</v>
      </c>
      <c r="F55" s="55" t="s">
        <v>231</v>
      </c>
      <c r="G55" s="5">
        <f>IF(Estimation!$B$18="",0,IF(ISNUMBER(SEARCH(LOWER(Estimation!$B$18),F55)),1,0))</f>
        <v>0</v>
      </c>
      <c r="H55" s="5" t="str">
        <f>IF(G55=1,SUM($G$4:G55),"")</f>
        <v/>
      </c>
    </row>
    <row r="56" spans="1:8" x14ac:dyDescent="0.35">
      <c r="A56" s="56" t="s">
        <v>23</v>
      </c>
      <c r="B56" s="56" t="s">
        <v>232</v>
      </c>
      <c r="C56" s="56" t="s">
        <v>233</v>
      </c>
      <c r="D56" s="39">
        <v>210</v>
      </c>
      <c r="E56" s="56" t="s">
        <v>234</v>
      </c>
      <c r="F56" s="55" t="s">
        <v>235</v>
      </c>
      <c r="G56" s="5">
        <f>IF(Estimation!$B$18="",0,IF(ISNUMBER(SEARCH(LOWER(Estimation!$B$18),F56)),1,0))</f>
        <v>0</v>
      </c>
      <c r="H56" s="5" t="str">
        <f>IF(G56=1,SUM($G$4:G56),"")</f>
        <v/>
      </c>
    </row>
    <row r="57" spans="1:8" x14ac:dyDescent="0.35">
      <c r="A57" s="56" t="s">
        <v>23</v>
      </c>
      <c r="B57" s="56" t="s">
        <v>236</v>
      </c>
      <c r="C57" s="56" t="s">
        <v>237</v>
      </c>
      <c r="D57" s="39">
        <v>305</v>
      </c>
      <c r="E57" s="56" t="s">
        <v>238</v>
      </c>
      <c r="F57" s="55" t="s">
        <v>239</v>
      </c>
      <c r="G57" s="5">
        <f>IF(Estimation!$B$18="",0,IF(ISNUMBER(SEARCH(LOWER(Estimation!$B$18),F57)),1,0))</f>
        <v>0</v>
      </c>
      <c r="H57" s="5" t="str">
        <f>IF(G57=1,SUM($G$4:G57),"")</f>
        <v/>
      </c>
    </row>
    <row r="58" spans="1:8" x14ac:dyDescent="0.35">
      <c r="A58" s="56" t="s">
        <v>23</v>
      </c>
      <c r="B58" s="56" t="s">
        <v>240</v>
      </c>
      <c r="C58" s="56" t="s">
        <v>241</v>
      </c>
      <c r="D58" s="39">
        <v>15</v>
      </c>
      <c r="E58" s="56" t="s">
        <v>242</v>
      </c>
      <c r="F58" s="55" t="s">
        <v>243</v>
      </c>
      <c r="G58" s="5">
        <f>IF(Estimation!$B$18="",0,IF(ISNUMBER(SEARCH(LOWER(Estimation!$B$18),F58)),1,0))</f>
        <v>0</v>
      </c>
      <c r="H58" s="5" t="str">
        <f>IF(G58=1,SUM($G$4:G58),"")</f>
        <v/>
      </c>
    </row>
    <row r="59" spans="1:8" x14ac:dyDescent="0.35">
      <c r="A59" s="56" t="s">
        <v>23</v>
      </c>
      <c r="B59" s="56" t="s">
        <v>244</v>
      </c>
      <c r="C59" s="56" t="s">
        <v>245</v>
      </c>
      <c r="D59" s="39">
        <v>137</v>
      </c>
      <c r="E59" s="56" t="s">
        <v>246</v>
      </c>
      <c r="F59" s="55" t="s">
        <v>247</v>
      </c>
      <c r="G59" s="5">
        <f>IF(Estimation!$B$18="",0,IF(ISNUMBER(SEARCH(LOWER(Estimation!$B$18),F59)),1,0))</f>
        <v>0</v>
      </c>
      <c r="H59" s="5" t="str">
        <f>IF(G59=1,SUM($G$4:G59),"")</f>
        <v/>
      </c>
    </row>
    <row r="60" spans="1:8" x14ac:dyDescent="0.35">
      <c r="A60" s="56" t="s">
        <v>23</v>
      </c>
      <c r="B60" s="56" t="s">
        <v>248</v>
      </c>
      <c r="C60" s="56" t="s">
        <v>249</v>
      </c>
      <c r="D60" s="39">
        <v>185</v>
      </c>
      <c r="E60" s="56" t="s">
        <v>250</v>
      </c>
      <c r="F60" s="55" t="s">
        <v>251</v>
      </c>
      <c r="G60" s="5">
        <f>IF(Estimation!$B$18="",0,IF(ISNUMBER(SEARCH(LOWER(Estimation!$B$18),F60)),1,0))</f>
        <v>0</v>
      </c>
      <c r="H60" s="5" t="str">
        <f>IF(G60=1,SUM($G$4:G60),"")</f>
        <v/>
      </c>
    </row>
    <row r="61" spans="1:8" x14ac:dyDescent="0.35">
      <c r="A61" s="56" t="s">
        <v>23</v>
      </c>
      <c r="B61" s="56" t="s">
        <v>252</v>
      </c>
      <c r="C61" s="56" t="s">
        <v>253</v>
      </c>
      <c r="D61" s="39">
        <v>277</v>
      </c>
      <c r="E61" s="56" t="s">
        <v>254</v>
      </c>
      <c r="F61" s="55" t="s">
        <v>255</v>
      </c>
      <c r="G61" s="5">
        <f>IF(Estimation!$B$18="",0,IF(ISNUMBER(SEARCH(LOWER(Estimation!$B$18),F61)),1,0))</f>
        <v>0</v>
      </c>
      <c r="H61" s="5" t="str">
        <f>IF(G61=1,SUM($G$4:G61),"")</f>
        <v/>
      </c>
    </row>
    <row r="62" spans="1:8" x14ac:dyDescent="0.35">
      <c r="A62" s="56" t="s">
        <v>23</v>
      </c>
      <c r="B62" s="56" t="s">
        <v>256</v>
      </c>
      <c r="C62" s="56" t="s">
        <v>257</v>
      </c>
      <c r="D62" s="39">
        <v>102</v>
      </c>
      <c r="E62" s="56" t="s">
        <v>258</v>
      </c>
      <c r="F62" s="55" t="s">
        <v>259</v>
      </c>
      <c r="G62" s="5">
        <f>IF(Estimation!$B$18="",0,IF(ISNUMBER(SEARCH(LOWER(Estimation!$B$18),F62)),1,0))</f>
        <v>0</v>
      </c>
      <c r="H62" s="5" t="str">
        <f>IF(G62=1,SUM($G$4:G62),"")</f>
        <v/>
      </c>
    </row>
    <row r="63" spans="1:8" x14ac:dyDescent="0.35">
      <c r="A63" s="56" t="s">
        <v>23</v>
      </c>
      <c r="B63" s="56" t="s">
        <v>260</v>
      </c>
      <c r="C63" s="56" t="s">
        <v>261</v>
      </c>
      <c r="D63" s="39">
        <v>120</v>
      </c>
      <c r="E63" s="56" t="s">
        <v>262</v>
      </c>
      <c r="F63" s="55" t="s">
        <v>263</v>
      </c>
      <c r="G63" s="5">
        <f>IF(Estimation!$B$18="",0,IF(ISNUMBER(SEARCH(LOWER(Estimation!$B$18),F63)),1,0))</f>
        <v>0</v>
      </c>
      <c r="H63" s="5" t="str">
        <f>IF(G63=1,SUM($G$4:G63),"")</f>
        <v/>
      </c>
    </row>
    <row r="64" spans="1:8" x14ac:dyDescent="0.35">
      <c r="A64" s="56" t="s">
        <v>23</v>
      </c>
      <c r="B64" s="56" t="s">
        <v>264</v>
      </c>
      <c r="C64" s="56" t="s">
        <v>265</v>
      </c>
      <c r="D64" s="39">
        <v>120</v>
      </c>
      <c r="E64" s="56" t="s">
        <v>266</v>
      </c>
      <c r="F64" s="55" t="s">
        <v>267</v>
      </c>
      <c r="G64" s="5">
        <f>IF(Estimation!$B$18="",0,IF(ISNUMBER(SEARCH(LOWER(Estimation!$B$18),F64)),1,0))</f>
        <v>0</v>
      </c>
      <c r="H64" s="5" t="str">
        <f>IF(G64=1,SUM($G$4:G64),"")</f>
        <v/>
      </c>
    </row>
    <row r="65" spans="1:8" x14ac:dyDescent="0.35">
      <c r="A65" s="56" t="s">
        <v>23</v>
      </c>
      <c r="B65" s="56" t="s">
        <v>268</v>
      </c>
      <c r="C65" s="56" t="s">
        <v>269</v>
      </c>
      <c r="D65" s="39">
        <v>78</v>
      </c>
      <c r="E65" s="56" t="s">
        <v>270</v>
      </c>
      <c r="F65" s="55" t="s">
        <v>271</v>
      </c>
      <c r="G65" s="5">
        <f>IF(Estimation!$B$18="",0,IF(ISNUMBER(SEARCH(LOWER(Estimation!$B$18),F65)),1,0))</f>
        <v>0</v>
      </c>
      <c r="H65" s="5" t="str">
        <f>IF(G65=1,SUM($G$4:G65),"")</f>
        <v/>
      </c>
    </row>
    <row r="66" spans="1:8" x14ac:dyDescent="0.35">
      <c r="A66" s="56" t="s">
        <v>23</v>
      </c>
      <c r="B66" s="56" t="s">
        <v>272</v>
      </c>
      <c r="C66" s="56" t="s">
        <v>273</v>
      </c>
      <c r="D66" s="39">
        <v>85</v>
      </c>
      <c r="E66" s="56" t="s">
        <v>274</v>
      </c>
      <c r="F66" s="55" t="s">
        <v>275</v>
      </c>
      <c r="G66" s="5">
        <f>IF(Estimation!$B$18="",0,IF(ISNUMBER(SEARCH(LOWER(Estimation!$B$18),F66)),1,0))</f>
        <v>0</v>
      </c>
      <c r="H66" s="5" t="str">
        <f>IF(G66=1,SUM($G$4:G66),"")</f>
        <v/>
      </c>
    </row>
    <row r="67" spans="1:8" x14ac:dyDescent="0.35">
      <c r="A67" s="56" t="s">
        <v>23</v>
      </c>
      <c r="B67" s="56" t="s">
        <v>276</v>
      </c>
      <c r="C67" s="56" t="s">
        <v>277</v>
      </c>
      <c r="D67" s="39">
        <v>54</v>
      </c>
      <c r="E67" s="56" t="s">
        <v>278</v>
      </c>
      <c r="F67" s="55" t="s">
        <v>279</v>
      </c>
      <c r="G67" s="5">
        <f>IF(Estimation!$B$18="",0,IF(ISNUMBER(SEARCH(LOWER(Estimation!$B$18),F67)),1,0))</f>
        <v>0</v>
      </c>
      <c r="H67" s="5" t="str">
        <f>IF(G67=1,SUM($G$4:G67),"")</f>
        <v/>
      </c>
    </row>
    <row r="68" spans="1:8" x14ac:dyDescent="0.35">
      <c r="A68" s="56" t="s">
        <v>23</v>
      </c>
      <c r="B68" s="56" t="s">
        <v>280</v>
      </c>
      <c r="C68" s="56" t="s">
        <v>281</v>
      </c>
      <c r="D68" s="39">
        <v>19.25</v>
      </c>
      <c r="E68" s="56" t="s">
        <v>282</v>
      </c>
      <c r="F68" s="55" t="s">
        <v>283</v>
      </c>
      <c r="G68" s="5">
        <f>IF(Estimation!$B$18="",0,IF(ISNUMBER(SEARCH(LOWER(Estimation!$B$18),F68)),1,0))</f>
        <v>0</v>
      </c>
      <c r="H68" s="5" t="str">
        <f>IF(G68=1,SUM($G$4:G68),"")</f>
        <v/>
      </c>
    </row>
    <row r="69" spans="1:8" x14ac:dyDescent="0.35">
      <c r="A69" s="56" t="s">
        <v>23</v>
      </c>
      <c r="B69" s="56" t="s">
        <v>284</v>
      </c>
      <c r="C69" s="56" t="s">
        <v>285</v>
      </c>
      <c r="D69" s="39">
        <v>165</v>
      </c>
      <c r="E69" s="56" t="s">
        <v>286</v>
      </c>
      <c r="F69" s="55" t="s">
        <v>287</v>
      </c>
      <c r="G69" s="5">
        <f>IF(Estimation!$B$18="",0,IF(ISNUMBER(SEARCH(LOWER(Estimation!$B$18),F69)),1,0))</f>
        <v>0</v>
      </c>
      <c r="H69" s="5" t="str">
        <f>IF(G69=1,SUM($G$4:G69),"")</f>
        <v/>
      </c>
    </row>
    <row r="70" spans="1:8" x14ac:dyDescent="0.35">
      <c r="A70" s="56" t="s">
        <v>23</v>
      </c>
      <c r="B70" s="56" t="s">
        <v>288</v>
      </c>
      <c r="C70" s="56" t="s">
        <v>289</v>
      </c>
      <c r="D70" s="39">
        <v>195</v>
      </c>
      <c r="E70" s="56" t="s">
        <v>290</v>
      </c>
      <c r="F70" s="55" t="s">
        <v>291</v>
      </c>
      <c r="G70" s="5">
        <f>IF(Estimation!$B$18="",0,IF(ISNUMBER(SEARCH(LOWER(Estimation!$B$18),F70)),1,0))</f>
        <v>0</v>
      </c>
      <c r="H70" s="5" t="str">
        <f>IF(G70=1,SUM($G$4:G70),"")</f>
        <v/>
      </c>
    </row>
    <row r="71" spans="1:8" x14ac:dyDescent="0.35">
      <c r="A71" s="56" t="s">
        <v>23</v>
      </c>
      <c r="B71" s="56" t="s">
        <v>292</v>
      </c>
      <c r="C71" s="56" t="s">
        <v>293</v>
      </c>
      <c r="D71" s="39">
        <v>175</v>
      </c>
      <c r="E71" s="56" t="s">
        <v>294</v>
      </c>
      <c r="F71" s="55" t="s">
        <v>295</v>
      </c>
      <c r="G71" s="5">
        <f>IF(Estimation!$B$18="",0,IF(ISNUMBER(SEARCH(LOWER(Estimation!$B$18),F71)),1,0))</f>
        <v>0</v>
      </c>
      <c r="H71" s="5" t="str">
        <f>IF(G71=1,SUM($G$4:G71),"")</f>
        <v/>
      </c>
    </row>
    <row r="72" spans="1:8" x14ac:dyDescent="0.35">
      <c r="A72" s="56" t="s">
        <v>23</v>
      </c>
      <c r="B72" s="56" t="s">
        <v>296</v>
      </c>
      <c r="C72" s="56" t="s">
        <v>297</v>
      </c>
      <c r="D72" s="39">
        <v>185</v>
      </c>
      <c r="E72" s="56" t="s">
        <v>298</v>
      </c>
      <c r="F72" s="55" t="s">
        <v>299</v>
      </c>
      <c r="G72" s="5">
        <f>IF(Estimation!$B$18="",0,IF(ISNUMBER(SEARCH(LOWER(Estimation!$B$18),F72)),1,0))</f>
        <v>0</v>
      </c>
      <c r="H72" s="5" t="str">
        <f>IF(G72=1,SUM($G$4:G72),"")</f>
        <v/>
      </c>
    </row>
    <row r="73" spans="1:8" x14ac:dyDescent="0.35">
      <c r="A73" s="56" t="s">
        <v>23</v>
      </c>
      <c r="B73" s="56" t="s">
        <v>300</v>
      </c>
      <c r="C73" s="56" t="s">
        <v>301</v>
      </c>
      <c r="D73" s="39">
        <v>185</v>
      </c>
      <c r="E73" s="56" t="s">
        <v>302</v>
      </c>
      <c r="F73" s="55" t="s">
        <v>303</v>
      </c>
      <c r="G73" s="5">
        <f>IF(Estimation!$B$18="",0,IF(ISNUMBER(SEARCH(LOWER(Estimation!$B$18),F73)),1,0))</f>
        <v>0</v>
      </c>
      <c r="H73" s="5" t="str">
        <f>IF(G73=1,SUM($G$4:G73),"")</f>
        <v/>
      </c>
    </row>
    <row r="74" spans="1:8" x14ac:dyDescent="0.35">
      <c r="A74" s="56" t="s">
        <v>23</v>
      </c>
      <c r="B74" s="56" t="s">
        <v>304</v>
      </c>
      <c r="C74" s="56" t="s">
        <v>305</v>
      </c>
      <c r="D74" s="39">
        <v>185</v>
      </c>
      <c r="E74" s="56" t="s">
        <v>306</v>
      </c>
      <c r="F74" s="55" t="s">
        <v>307</v>
      </c>
      <c r="G74" s="5">
        <f>IF(Estimation!$B$18="",0,IF(ISNUMBER(SEARCH(LOWER(Estimation!$B$18),F74)),1,0))</f>
        <v>0</v>
      </c>
      <c r="H74" s="5" t="str">
        <f>IF(G74=1,SUM($G$4:G74),"")</f>
        <v/>
      </c>
    </row>
    <row r="75" spans="1:8" x14ac:dyDescent="0.35">
      <c r="A75" s="56" t="s">
        <v>23</v>
      </c>
      <c r="B75" s="56" t="s">
        <v>308</v>
      </c>
      <c r="C75" s="56" t="s">
        <v>309</v>
      </c>
      <c r="D75" s="39">
        <v>145</v>
      </c>
      <c r="E75" s="56" t="s">
        <v>310</v>
      </c>
      <c r="F75" s="55" t="s">
        <v>311</v>
      </c>
      <c r="G75" s="5">
        <f>IF(Estimation!$B$18="",0,IF(ISNUMBER(SEARCH(LOWER(Estimation!$B$18),F75)),1,0))</f>
        <v>0</v>
      </c>
      <c r="H75" s="5" t="str">
        <f>IF(G75=1,SUM($G$4:G75),"")</f>
        <v/>
      </c>
    </row>
    <row r="76" spans="1:8" x14ac:dyDescent="0.35">
      <c r="A76" s="56" t="s">
        <v>23</v>
      </c>
      <c r="B76" s="56" t="s">
        <v>312</v>
      </c>
      <c r="C76" s="56" t="s">
        <v>313</v>
      </c>
      <c r="D76" s="39">
        <v>710</v>
      </c>
      <c r="E76" s="56" t="s">
        <v>314</v>
      </c>
      <c r="F76" s="55" t="s">
        <v>315</v>
      </c>
      <c r="G76" s="5">
        <f>IF(Estimation!$B$18="",0,IF(ISNUMBER(SEARCH(LOWER(Estimation!$B$18),F76)),1,0))</f>
        <v>0</v>
      </c>
      <c r="H76" s="5" t="str">
        <f>IF(G76=1,SUM($G$4:G76),"")</f>
        <v/>
      </c>
    </row>
    <row r="77" spans="1:8" x14ac:dyDescent="0.35">
      <c r="A77" s="56" t="s">
        <v>23</v>
      </c>
      <c r="B77" s="56" t="s">
        <v>316</v>
      </c>
      <c r="C77" s="56" t="s">
        <v>317</v>
      </c>
      <c r="D77" s="39">
        <v>710</v>
      </c>
      <c r="E77" s="56" t="s">
        <v>318</v>
      </c>
      <c r="F77" s="55" t="s">
        <v>319</v>
      </c>
      <c r="G77" s="5">
        <f>IF(Estimation!$B$18="",0,IF(ISNUMBER(SEARCH(LOWER(Estimation!$B$18),F77)),1,0))</f>
        <v>0</v>
      </c>
      <c r="H77" s="5" t="str">
        <f>IF(G77=1,SUM($G$4:G77),"")</f>
        <v/>
      </c>
    </row>
    <row r="78" spans="1:8" x14ac:dyDescent="0.35">
      <c r="A78" s="56" t="s">
        <v>23</v>
      </c>
      <c r="B78" s="56" t="s">
        <v>320</v>
      </c>
      <c r="C78" s="56" t="s">
        <v>321</v>
      </c>
      <c r="D78" s="39">
        <v>137</v>
      </c>
      <c r="E78" s="56" t="s">
        <v>322</v>
      </c>
      <c r="F78" s="55" t="s">
        <v>323</v>
      </c>
      <c r="G78" s="5">
        <f>IF(Estimation!$B$18="",0,IF(ISNUMBER(SEARCH(LOWER(Estimation!$B$18),F78)),1,0))</f>
        <v>0</v>
      </c>
      <c r="H78" s="5" t="str">
        <f>IF(G78=1,SUM($G$4:G78),"")</f>
        <v/>
      </c>
    </row>
    <row r="79" spans="1:8" x14ac:dyDescent="0.35">
      <c r="A79" s="56" t="s">
        <v>23</v>
      </c>
      <c r="B79" s="56" t="s">
        <v>324</v>
      </c>
      <c r="C79" s="56" t="s">
        <v>325</v>
      </c>
      <c r="D79" s="39">
        <v>131</v>
      </c>
      <c r="E79" s="56" t="s">
        <v>326</v>
      </c>
      <c r="F79" s="55" t="s">
        <v>327</v>
      </c>
      <c r="G79" s="5">
        <f>IF(Estimation!$B$18="",0,IF(ISNUMBER(SEARCH(LOWER(Estimation!$B$18),F79)),1,0))</f>
        <v>0</v>
      </c>
      <c r="H79" s="5" t="str">
        <f>IF(G79=1,SUM($G$4:G79),"")</f>
        <v/>
      </c>
    </row>
    <row r="80" spans="1:8" x14ac:dyDescent="0.35">
      <c r="A80" s="56" t="s">
        <v>23</v>
      </c>
      <c r="B80" s="56" t="s">
        <v>328</v>
      </c>
      <c r="C80" s="56" t="s">
        <v>329</v>
      </c>
      <c r="D80" s="39">
        <v>137</v>
      </c>
      <c r="E80" s="56" t="s">
        <v>330</v>
      </c>
      <c r="F80" s="55" t="s">
        <v>331</v>
      </c>
      <c r="G80" s="5">
        <f>IF(Estimation!$B$18="",0,IF(ISNUMBER(SEARCH(LOWER(Estimation!$B$18),F80)),1,0))</f>
        <v>0</v>
      </c>
      <c r="H80" s="5" t="str">
        <f>IF(G80=1,SUM($G$4:G80),"")</f>
        <v/>
      </c>
    </row>
    <row r="81" spans="1:8" x14ac:dyDescent="0.35">
      <c r="A81" s="56" t="s">
        <v>23</v>
      </c>
      <c r="B81" s="56" t="s">
        <v>332</v>
      </c>
      <c r="C81" s="56" t="s">
        <v>333</v>
      </c>
      <c r="D81" s="39">
        <v>3780</v>
      </c>
      <c r="E81" s="56" t="s">
        <v>334</v>
      </c>
      <c r="F81" s="55" t="s">
        <v>335</v>
      </c>
      <c r="G81" s="5">
        <f>IF(Estimation!$B$18="",0,IF(ISNUMBER(SEARCH(LOWER(Estimation!$B$18),F81)),1,0))</f>
        <v>0</v>
      </c>
      <c r="H81" s="5" t="str">
        <f>IF(G81=1,SUM($G$4:G81),"")</f>
        <v/>
      </c>
    </row>
    <row r="82" spans="1:8" x14ac:dyDescent="0.35">
      <c r="A82" s="56" t="s">
        <v>23</v>
      </c>
      <c r="B82" s="56" t="s">
        <v>336</v>
      </c>
      <c r="C82" s="56" t="s">
        <v>337</v>
      </c>
      <c r="D82" s="39">
        <v>4255</v>
      </c>
      <c r="E82" s="56" t="s">
        <v>338</v>
      </c>
      <c r="F82" s="55" t="s">
        <v>339</v>
      </c>
      <c r="G82" s="5">
        <f>IF(Estimation!$B$18="",0,IF(ISNUMBER(SEARCH(LOWER(Estimation!$B$18),F82)),1,0))</f>
        <v>0</v>
      </c>
      <c r="H82" s="5" t="str">
        <f>IF(G82=1,SUM($G$4:G82),"")</f>
        <v/>
      </c>
    </row>
    <row r="83" spans="1:8" x14ac:dyDescent="0.35">
      <c r="A83" s="56" t="s">
        <v>23</v>
      </c>
      <c r="B83" s="56" t="s">
        <v>340</v>
      </c>
      <c r="C83" s="56" t="s">
        <v>341</v>
      </c>
      <c r="D83" s="39">
        <v>113.5</v>
      </c>
      <c r="E83" s="56" t="s">
        <v>342</v>
      </c>
      <c r="F83" s="55" t="s">
        <v>343</v>
      </c>
      <c r="G83" s="5">
        <f>IF(Estimation!$B$18="",0,IF(ISNUMBER(SEARCH(LOWER(Estimation!$B$18),F83)),1,0))</f>
        <v>0</v>
      </c>
      <c r="H83" s="5" t="str">
        <f>IF(G83=1,SUM($G$4:G83),"")</f>
        <v/>
      </c>
    </row>
    <row r="84" spans="1:8" x14ac:dyDescent="0.35">
      <c r="A84" s="56" t="s">
        <v>23</v>
      </c>
      <c r="B84" s="56" t="s">
        <v>344</v>
      </c>
      <c r="C84" s="56" t="s">
        <v>345</v>
      </c>
      <c r="D84" s="39">
        <v>119</v>
      </c>
      <c r="E84" s="56" t="s">
        <v>346</v>
      </c>
      <c r="F84" s="55" t="s">
        <v>347</v>
      </c>
      <c r="G84" s="5">
        <f>IF(Estimation!$B$18="",0,IF(ISNUMBER(SEARCH(LOWER(Estimation!$B$18),F84)),1,0))</f>
        <v>0</v>
      </c>
      <c r="H84" s="5" t="str">
        <f>IF(G84=1,SUM($G$4:G84),"")</f>
        <v/>
      </c>
    </row>
    <row r="85" spans="1:8" x14ac:dyDescent="0.35">
      <c r="A85" s="56" t="s">
        <v>23</v>
      </c>
      <c r="B85" s="56" t="s">
        <v>348</v>
      </c>
      <c r="C85" s="56" t="s">
        <v>349</v>
      </c>
      <c r="D85" s="39">
        <v>125</v>
      </c>
      <c r="E85" s="56" t="s">
        <v>350</v>
      </c>
      <c r="F85" s="55" t="s">
        <v>351</v>
      </c>
      <c r="G85" s="5">
        <f>IF(Estimation!$B$18="",0,IF(ISNUMBER(SEARCH(LOWER(Estimation!$B$18),F85)),1,0))</f>
        <v>0</v>
      </c>
      <c r="H85" s="5" t="str">
        <f>IF(G85=1,SUM($G$4:G85),"")</f>
        <v/>
      </c>
    </row>
    <row r="86" spans="1:8" x14ac:dyDescent="0.35">
      <c r="A86" s="56" t="s">
        <v>23</v>
      </c>
      <c r="B86" s="56" t="s">
        <v>352</v>
      </c>
      <c r="C86" s="56" t="s">
        <v>353</v>
      </c>
      <c r="D86" s="39">
        <v>201</v>
      </c>
      <c r="E86" s="56" t="s">
        <v>354</v>
      </c>
      <c r="F86" s="55" t="s">
        <v>355</v>
      </c>
      <c r="G86" s="5">
        <f>IF(Estimation!$B$18="",0,IF(ISNUMBER(SEARCH(LOWER(Estimation!$B$18),F86)),1,0))</f>
        <v>0</v>
      </c>
      <c r="H86" s="5" t="str">
        <f>IF(G86=1,SUM($G$4:G86),"")</f>
        <v/>
      </c>
    </row>
    <row r="87" spans="1:8" x14ac:dyDescent="0.35">
      <c r="A87" s="56" t="s">
        <v>23</v>
      </c>
      <c r="B87" s="56" t="s">
        <v>356</v>
      </c>
      <c r="C87" s="56" t="s">
        <v>357</v>
      </c>
      <c r="D87" s="39">
        <v>90</v>
      </c>
      <c r="E87" s="56" t="s">
        <v>358</v>
      </c>
      <c r="F87" s="55" t="s">
        <v>359</v>
      </c>
      <c r="G87" s="5">
        <f>IF(Estimation!$B$18="",0,IF(ISNUMBER(SEARCH(LOWER(Estimation!$B$18),F87)),1,0))</f>
        <v>0</v>
      </c>
      <c r="H87" s="5" t="str">
        <f>IF(G87=1,SUM($G$4:G87),"")</f>
        <v/>
      </c>
    </row>
    <row r="88" spans="1:8" x14ac:dyDescent="0.35">
      <c r="A88" s="56" t="s">
        <v>23</v>
      </c>
      <c r="B88" s="56" t="s">
        <v>360</v>
      </c>
      <c r="C88" s="56" t="s">
        <v>361</v>
      </c>
      <c r="D88" s="39">
        <v>90</v>
      </c>
      <c r="E88" s="56" t="s">
        <v>362</v>
      </c>
      <c r="F88" s="55" t="s">
        <v>363</v>
      </c>
      <c r="G88" s="5">
        <f>IF(Estimation!$B$18="",0,IF(ISNUMBER(SEARCH(LOWER(Estimation!$B$18),F88)),1,0))</f>
        <v>0</v>
      </c>
      <c r="H88" s="5" t="str">
        <f>IF(G88=1,SUM($G$4:G88),"")</f>
        <v/>
      </c>
    </row>
    <row r="89" spans="1:8" x14ac:dyDescent="0.35">
      <c r="A89" s="56" t="s">
        <v>23</v>
      </c>
      <c r="B89" s="56" t="s">
        <v>364</v>
      </c>
      <c r="C89" s="56" t="s">
        <v>365</v>
      </c>
      <c r="D89" s="39">
        <v>156</v>
      </c>
      <c r="E89" s="56" t="s">
        <v>366</v>
      </c>
      <c r="F89" s="55" t="s">
        <v>367</v>
      </c>
      <c r="G89" s="5">
        <f>IF(Estimation!$B$18="",0,IF(ISNUMBER(SEARCH(LOWER(Estimation!$B$18),F89)),1,0))</f>
        <v>0</v>
      </c>
      <c r="H89" s="5" t="str">
        <f>IF(G89=1,SUM($G$4:G89),"")</f>
        <v/>
      </c>
    </row>
    <row r="90" spans="1:8" x14ac:dyDescent="0.35">
      <c r="A90" s="56" t="s">
        <v>23</v>
      </c>
      <c r="B90" s="56" t="s">
        <v>368</v>
      </c>
      <c r="C90" s="56" t="s">
        <v>369</v>
      </c>
      <c r="D90" s="39">
        <v>156</v>
      </c>
      <c r="E90" s="56" t="s">
        <v>370</v>
      </c>
      <c r="F90" s="55" t="s">
        <v>371</v>
      </c>
      <c r="G90" s="5">
        <f>IF(Estimation!$B$18="",0,IF(ISNUMBER(SEARCH(LOWER(Estimation!$B$18),F90)),1,0))</f>
        <v>0</v>
      </c>
      <c r="H90" s="5" t="str">
        <f>IF(G90=1,SUM($G$4:G90),"")</f>
        <v/>
      </c>
    </row>
    <row r="91" spans="1:8" x14ac:dyDescent="0.35">
      <c r="A91" s="56" t="s">
        <v>23</v>
      </c>
      <c r="B91" s="56" t="s">
        <v>372</v>
      </c>
      <c r="C91" s="56" t="s">
        <v>373</v>
      </c>
      <c r="D91" s="39">
        <v>479</v>
      </c>
      <c r="E91" s="56" t="s">
        <v>374</v>
      </c>
      <c r="F91" s="55" t="s">
        <v>375</v>
      </c>
      <c r="G91" s="5">
        <f>IF(Estimation!$B$18="",0,IF(ISNUMBER(SEARCH(LOWER(Estimation!$B$18),F91)),1,0))</f>
        <v>0</v>
      </c>
      <c r="H91" s="5" t="str">
        <f>IF(G91=1,SUM($G$4:G91),"")</f>
        <v/>
      </c>
    </row>
    <row r="92" spans="1:8" x14ac:dyDescent="0.35">
      <c r="A92" s="56" t="s">
        <v>23</v>
      </c>
      <c r="B92" s="56" t="s">
        <v>376</v>
      </c>
      <c r="C92" s="56" t="s">
        <v>377</v>
      </c>
      <c r="D92" s="39">
        <v>379</v>
      </c>
      <c r="E92" s="56" t="s">
        <v>378</v>
      </c>
      <c r="F92" s="55" t="s">
        <v>379</v>
      </c>
      <c r="G92" s="5">
        <f>IF(Estimation!$B$18="",0,IF(ISNUMBER(SEARCH(LOWER(Estimation!$B$18),F92)),1,0))</f>
        <v>0</v>
      </c>
      <c r="H92" s="5" t="str">
        <f>IF(G92=1,SUM($G$4:G92),"")</f>
        <v/>
      </c>
    </row>
    <row r="93" spans="1:8" x14ac:dyDescent="0.35">
      <c r="A93" s="56" t="s">
        <v>23</v>
      </c>
      <c r="B93" s="56" t="s">
        <v>380</v>
      </c>
      <c r="C93" s="56" t="s">
        <v>381</v>
      </c>
      <c r="D93" s="39">
        <v>222</v>
      </c>
      <c r="E93" s="56" t="s">
        <v>382</v>
      </c>
      <c r="F93" s="55" t="s">
        <v>383</v>
      </c>
      <c r="G93" s="5">
        <f>IF(Estimation!$B$18="",0,IF(ISNUMBER(SEARCH(LOWER(Estimation!$B$18),F93)),1,0))</f>
        <v>0</v>
      </c>
      <c r="H93" s="5" t="str">
        <f>IF(G93=1,SUM($G$4:G93),"")</f>
        <v/>
      </c>
    </row>
    <row r="94" spans="1:8" x14ac:dyDescent="0.35">
      <c r="A94" s="56" t="s">
        <v>23</v>
      </c>
      <c r="B94" s="56" t="s">
        <v>384</v>
      </c>
      <c r="C94" s="56" t="s">
        <v>385</v>
      </c>
      <c r="D94" s="39">
        <v>396</v>
      </c>
      <c r="E94" s="56" t="s">
        <v>386</v>
      </c>
      <c r="F94" s="55" t="s">
        <v>387</v>
      </c>
      <c r="G94" s="5">
        <f>IF(Estimation!$B$18="",0,IF(ISNUMBER(SEARCH(LOWER(Estimation!$B$18),F94)),1,0))</f>
        <v>0</v>
      </c>
      <c r="H94" s="5" t="str">
        <f>IF(G94=1,SUM($G$4:G94),"")</f>
        <v/>
      </c>
    </row>
    <row r="95" spans="1:8" x14ac:dyDescent="0.35">
      <c r="A95" s="56" t="s">
        <v>23</v>
      </c>
      <c r="B95" s="56" t="s">
        <v>388</v>
      </c>
      <c r="C95" s="56" t="s">
        <v>389</v>
      </c>
      <c r="D95" s="39">
        <v>12.25</v>
      </c>
      <c r="E95" s="56" t="s">
        <v>390</v>
      </c>
      <c r="F95" s="55" t="s">
        <v>391</v>
      </c>
      <c r="G95" s="5">
        <f>IF(Estimation!$B$18="",0,IF(ISNUMBER(SEARCH(LOWER(Estimation!$B$18),F95)),1,0))</f>
        <v>0</v>
      </c>
      <c r="H95" s="5" t="str">
        <f>IF(G95=1,SUM($G$4:G95),"")</f>
        <v/>
      </c>
    </row>
    <row r="96" spans="1:8" x14ac:dyDescent="0.35">
      <c r="A96" s="56" t="s">
        <v>23</v>
      </c>
      <c r="B96" s="56" t="s">
        <v>392</v>
      </c>
      <c r="C96" s="56" t="s">
        <v>393</v>
      </c>
      <c r="D96" s="39">
        <v>19.25</v>
      </c>
      <c r="E96" s="56" t="s">
        <v>394</v>
      </c>
      <c r="F96" s="55" t="s">
        <v>395</v>
      </c>
      <c r="G96" s="5">
        <f>IF(Estimation!$B$18="",0,IF(ISNUMBER(SEARCH(LOWER(Estimation!$B$18),F96)),1,0))</f>
        <v>0</v>
      </c>
      <c r="H96" s="5" t="str">
        <f>IF(G96=1,SUM($G$4:G96),"")</f>
        <v/>
      </c>
    </row>
    <row r="97" spans="1:8" x14ac:dyDescent="0.35">
      <c r="A97" s="56" t="s">
        <v>23</v>
      </c>
      <c r="B97" s="56" t="s">
        <v>396</v>
      </c>
      <c r="C97" s="56" t="s">
        <v>397</v>
      </c>
      <c r="D97" s="39">
        <v>14</v>
      </c>
      <c r="E97" s="56" t="s">
        <v>398</v>
      </c>
      <c r="F97" s="55" t="s">
        <v>399</v>
      </c>
      <c r="G97" s="5">
        <f>IF(Estimation!$B$18="",0,IF(ISNUMBER(SEARCH(LOWER(Estimation!$B$18),F97)),1,0))</f>
        <v>0</v>
      </c>
      <c r="H97" s="5" t="str">
        <f>IF(G97=1,SUM($G$4:G97),"")</f>
        <v/>
      </c>
    </row>
    <row r="98" spans="1:8" x14ac:dyDescent="0.35">
      <c r="A98" s="56" t="s">
        <v>23</v>
      </c>
      <c r="B98" s="56" t="s">
        <v>400</v>
      </c>
      <c r="C98" s="56" t="s">
        <v>401</v>
      </c>
      <c r="D98" s="39">
        <v>20</v>
      </c>
      <c r="E98" s="56" t="s">
        <v>402</v>
      </c>
      <c r="F98" s="55" t="s">
        <v>403</v>
      </c>
      <c r="G98" s="5">
        <f>IF(Estimation!$B$18="",0,IF(ISNUMBER(SEARCH(LOWER(Estimation!$B$18),F98)),1,0))</f>
        <v>0</v>
      </c>
      <c r="H98" s="5" t="str">
        <f>IF(G98=1,SUM($G$4:G98),"")</f>
        <v/>
      </c>
    </row>
    <row r="99" spans="1:8" x14ac:dyDescent="0.35">
      <c r="A99" s="56" t="s">
        <v>23</v>
      </c>
      <c r="B99" s="56" t="s">
        <v>404</v>
      </c>
      <c r="C99" s="56" t="s">
        <v>405</v>
      </c>
      <c r="D99" s="39">
        <v>53</v>
      </c>
      <c r="E99" s="56" t="s">
        <v>406</v>
      </c>
      <c r="F99" s="55" t="s">
        <v>407</v>
      </c>
      <c r="G99" s="5">
        <f>IF(Estimation!$B$18="",0,IF(ISNUMBER(SEARCH(LOWER(Estimation!$B$18),F99)),1,0))</f>
        <v>0</v>
      </c>
      <c r="H99" s="5" t="str">
        <f>IF(G99=1,SUM($G$4:G99),"")</f>
        <v/>
      </c>
    </row>
    <row r="100" spans="1:8" x14ac:dyDescent="0.35">
      <c r="A100" s="56" t="s">
        <v>23</v>
      </c>
      <c r="B100" s="56" t="s">
        <v>408</v>
      </c>
      <c r="C100" s="56" t="s">
        <v>409</v>
      </c>
      <c r="D100" s="39">
        <v>253</v>
      </c>
      <c r="E100" s="56" t="s">
        <v>410</v>
      </c>
      <c r="F100" s="55" t="s">
        <v>411</v>
      </c>
      <c r="G100" s="5">
        <f>IF(Estimation!$B$18="",0,IF(ISNUMBER(SEARCH(LOWER(Estimation!$B$18),F100)),1,0))</f>
        <v>0</v>
      </c>
      <c r="H100" s="5" t="str">
        <f>IF(G100=1,SUM($G$4:G100),"")</f>
        <v/>
      </c>
    </row>
    <row r="101" spans="1:8" x14ac:dyDescent="0.35">
      <c r="A101" s="56" t="s">
        <v>23</v>
      </c>
      <c r="B101" s="56" t="s">
        <v>412</v>
      </c>
      <c r="C101" s="56" t="s">
        <v>413</v>
      </c>
      <c r="D101" s="39">
        <v>349</v>
      </c>
      <c r="E101" s="56" t="s">
        <v>414</v>
      </c>
      <c r="F101" s="55" t="s">
        <v>415</v>
      </c>
      <c r="G101" s="5">
        <f>IF(Estimation!$B$18="",0,IF(ISNUMBER(SEARCH(LOWER(Estimation!$B$18),F101)),1,0))</f>
        <v>0</v>
      </c>
      <c r="H101" s="5" t="str">
        <f>IF(G101=1,SUM($G$4:G101),"")</f>
        <v/>
      </c>
    </row>
    <row r="102" spans="1:8" x14ac:dyDescent="0.35">
      <c r="A102" s="56" t="s">
        <v>23</v>
      </c>
      <c r="B102" s="56" t="s">
        <v>416</v>
      </c>
      <c r="C102" s="56" t="s">
        <v>417</v>
      </c>
      <c r="D102" s="39">
        <v>19</v>
      </c>
      <c r="E102" s="56" t="s">
        <v>418</v>
      </c>
      <c r="F102" s="55" t="s">
        <v>419</v>
      </c>
      <c r="G102" s="5">
        <f>IF(Estimation!$B$18="",0,IF(ISNUMBER(SEARCH(LOWER(Estimation!$B$18),F102)),1,0))</f>
        <v>0</v>
      </c>
      <c r="H102" s="5" t="str">
        <f>IF(G102=1,SUM($G$4:G102),"")</f>
        <v/>
      </c>
    </row>
    <row r="103" spans="1:8" x14ac:dyDescent="0.35">
      <c r="A103" s="56" t="s">
        <v>23</v>
      </c>
      <c r="B103" s="56" t="s">
        <v>420</v>
      </c>
      <c r="C103" s="56" t="s">
        <v>421</v>
      </c>
      <c r="D103" s="39">
        <v>27.5</v>
      </c>
      <c r="E103" s="56" t="s">
        <v>422</v>
      </c>
      <c r="F103" s="55" t="s">
        <v>423</v>
      </c>
      <c r="G103" s="5">
        <f>IF(Estimation!$B$18="",0,IF(ISNUMBER(SEARCH(LOWER(Estimation!$B$18),F103)),1,0))</f>
        <v>0</v>
      </c>
      <c r="H103" s="5" t="str">
        <f>IF(G103=1,SUM($G$4:G103),"")</f>
        <v/>
      </c>
    </row>
    <row r="104" spans="1:8" x14ac:dyDescent="0.35">
      <c r="A104" s="56" t="s">
        <v>23</v>
      </c>
      <c r="B104" s="56" t="s">
        <v>424</v>
      </c>
      <c r="C104" s="56" t="s">
        <v>425</v>
      </c>
      <c r="D104" s="39">
        <v>39.5</v>
      </c>
      <c r="E104" s="56" t="s">
        <v>426</v>
      </c>
      <c r="F104" s="55" t="s">
        <v>427</v>
      </c>
      <c r="G104" s="5">
        <f>IF(Estimation!$B$18="",0,IF(ISNUMBER(SEARCH(LOWER(Estimation!$B$18),F104)),1,0))</f>
        <v>0</v>
      </c>
      <c r="H104" s="5" t="str">
        <f>IF(G104=1,SUM($G$4:G104),"")</f>
        <v/>
      </c>
    </row>
    <row r="105" spans="1:8" x14ac:dyDescent="0.35">
      <c r="A105" s="56" t="s">
        <v>23</v>
      </c>
      <c r="B105" s="56" t="s">
        <v>428</v>
      </c>
      <c r="C105" s="56" t="s">
        <v>429</v>
      </c>
      <c r="D105" s="39">
        <v>68</v>
      </c>
      <c r="E105" s="56" t="s">
        <v>430</v>
      </c>
      <c r="F105" s="55" t="s">
        <v>431</v>
      </c>
      <c r="G105" s="5">
        <f>IF(Estimation!$B$18="",0,IF(ISNUMBER(SEARCH(LOWER(Estimation!$B$18),F105)),1,0))</f>
        <v>0</v>
      </c>
      <c r="H105" s="5" t="str">
        <f>IF(G105=1,SUM($G$4:G105),"")</f>
        <v/>
      </c>
    </row>
    <row r="106" spans="1:8" x14ac:dyDescent="0.35">
      <c r="A106" s="56" t="s">
        <v>23</v>
      </c>
      <c r="B106" s="56" t="s">
        <v>432</v>
      </c>
      <c r="C106" s="56" t="s">
        <v>433</v>
      </c>
      <c r="D106" s="39">
        <v>72</v>
      </c>
      <c r="E106" s="56" t="s">
        <v>434</v>
      </c>
      <c r="F106" s="55" t="s">
        <v>435</v>
      </c>
      <c r="G106" s="5">
        <f>IF(Estimation!$B$18="",0,IF(ISNUMBER(SEARCH(LOWER(Estimation!$B$18),F106)),1,0))</f>
        <v>0</v>
      </c>
      <c r="H106" s="5" t="str">
        <f>IF(G106=1,SUM($G$4:G106),"")</f>
        <v/>
      </c>
    </row>
    <row r="107" spans="1:8" x14ac:dyDescent="0.35">
      <c r="A107" s="56" t="s">
        <v>23</v>
      </c>
      <c r="B107" s="56" t="s">
        <v>436</v>
      </c>
      <c r="C107" s="56" t="s">
        <v>437</v>
      </c>
      <c r="D107" s="39">
        <v>72</v>
      </c>
      <c r="E107" s="56" t="s">
        <v>438</v>
      </c>
      <c r="F107" s="55" t="s">
        <v>439</v>
      </c>
      <c r="G107" s="5">
        <f>IF(Estimation!$B$18="",0,IF(ISNUMBER(SEARCH(LOWER(Estimation!$B$18),F107)),1,0))</f>
        <v>0</v>
      </c>
      <c r="H107" s="5" t="str">
        <f>IF(G107=1,SUM($G$4:G107),"")</f>
        <v/>
      </c>
    </row>
    <row r="108" spans="1:8" x14ac:dyDescent="0.35">
      <c r="A108" s="56" t="s">
        <v>23</v>
      </c>
      <c r="B108" s="56" t="s">
        <v>440</v>
      </c>
      <c r="C108" s="56" t="s">
        <v>441</v>
      </c>
      <c r="D108" s="39">
        <v>50.5</v>
      </c>
      <c r="E108" s="56" t="s">
        <v>442</v>
      </c>
      <c r="F108" s="55" t="s">
        <v>443</v>
      </c>
      <c r="G108" s="5">
        <f>IF(Estimation!$B$18="",0,IF(ISNUMBER(SEARCH(LOWER(Estimation!$B$18),F108)),1,0))</f>
        <v>0</v>
      </c>
      <c r="H108" s="5" t="str">
        <f>IF(G108=1,SUM($G$4:G108),"")</f>
        <v/>
      </c>
    </row>
    <row r="109" spans="1:8" x14ac:dyDescent="0.35">
      <c r="A109" s="56" t="s">
        <v>23</v>
      </c>
      <c r="B109" s="56" t="s">
        <v>444</v>
      </c>
      <c r="C109" s="56" t="s">
        <v>445</v>
      </c>
      <c r="D109" s="39">
        <v>50.5</v>
      </c>
      <c r="E109" s="56" t="s">
        <v>446</v>
      </c>
      <c r="F109" s="55" t="s">
        <v>447</v>
      </c>
      <c r="G109" s="5">
        <f>IF(Estimation!$B$18="",0,IF(ISNUMBER(SEARCH(LOWER(Estimation!$B$18),F109)),1,0))</f>
        <v>0</v>
      </c>
      <c r="H109" s="5" t="str">
        <f>IF(G109=1,SUM($G$4:G109),"")</f>
        <v/>
      </c>
    </row>
    <row r="110" spans="1:8" x14ac:dyDescent="0.35">
      <c r="A110" s="56" t="s">
        <v>23</v>
      </c>
      <c r="B110" s="56" t="s">
        <v>448</v>
      </c>
      <c r="C110" s="56" t="s">
        <v>449</v>
      </c>
      <c r="D110" s="39">
        <v>52.5</v>
      </c>
      <c r="E110" s="56" t="s">
        <v>450</v>
      </c>
      <c r="F110" s="55" t="s">
        <v>451</v>
      </c>
      <c r="G110" s="5">
        <f>IF(Estimation!$B$18="",0,IF(ISNUMBER(SEARCH(LOWER(Estimation!$B$18),F110)),1,0))</f>
        <v>0</v>
      </c>
      <c r="H110" s="5" t="str">
        <f>IF(G110=1,SUM($G$4:G110),"")</f>
        <v/>
      </c>
    </row>
    <row r="111" spans="1:8" x14ac:dyDescent="0.35">
      <c r="A111" s="56" t="s">
        <v>23</v>
      </c>
      <c r="B111" s="56" t="s">
        <v>452</v>
      </c>
      <c r="C111" s="56" t="s">
        <v>453</v>
      </c>
      <c r="D111" s="39">
        <v>52.5</v>
      </c>
      <c r="E111" s="56" t="s">
        <v>454</v>
      </c>
      <c r="F111" s="55" t="s">
        <v>455</v>
      </c>
      <c r="G111" s="5">
        <f>IF(Estimation!$B$18="",0,IF(ISNUMBER(SEARCH(LOWER(Estimation!$B$18),F111)),1,0))</f>
        <v>0</v>
      </c>
      <c r="H111" s="5" t="str">
        <f>IF(G111=1,SUM($G$4:G111),"")</f>
        <v/>
      </c>
    </row>
    <row r="112" spans="1:8" x14ac:dyDescent="0.35">
      <c r="A112" s="56" t="s">
        <v>23</v>
      </c>
      <c r="B112" s="56" t="s">
        <v>456</v>
      </c>
      <c r="C112" s="56" t="s">
        <v>457</v>
      </c>
      <c r="D112" s="39">
        <v>120.5</v>
      </c>
      <c r="E112" s="56" t="s">
        <v>458</v>
      </c>
      <c r="F112" s="55" t="s">
        <v>459</v>
      </c>
      <c r="G112" s="5">
        <f>IF(Estimation!$B$18="",0,IF(ISNUMBER(SEARCH(LOWER(Estimation!$B$18),F112)),1,0))</f>
        <v>0</v>
      </c>
      <c r="H112" s="5" t="str">
        <f>IF(G112=1,SUM($G$4:G112),"")</f>
        <v/>
      </c>
    </row>
    <row r="113" spans="1:8" x14ac:dyDescent="0.35">
      <c r="A113" s="56" t="s">
        <v>23</v>
      </c>
      <c r="B113" s="56" t="s">
        <v>460</v>
      </c>
      <c r="C113" s="56" t="s">
        <v>461</v>
      </c>
      <c r="D113" s="39">
        <v>11</v>
      </c>
      <c r="E113" s="56" t="s">
        <v>462</v>
      </c>
      <c r="F113" s="55" t="s">
        <v>463</v>
      </c>
      <c r="G113" s="5">
        <f>IF(Estimation!$B$18="",0,IF(ISNUMBER(SEARCH(LOWER(Estimation!$B$18),F113)),1,0))</f>
        <v>0</v>
      </c>
      <c r="H113" s="5" t="str">
        <f>IF(G113=1,SUM($G$4:G113),"")</f>
        <v/>
      </c>
    </row>
    <row r="114" spans="1:8" x14ac:dyDescent="0.35">
      <c r="A114" s="56" t="s">
        <v>23</v>
      </c>
      <c r="B114" s="56" t="s">
        <v>464</v>
      </c>
      <c r="C114" s="56" t="s">
        <v>465</v>
      </c>
      <c r="D114" s="39">
        <v>18</v>
      </c>
      <c r="E114" s="56" t="s">
        <v>466</v>
      </c>
      <c r="F114" s="55" t="s">
        <v>467</v>
      </c>
      <c r="G114" s="5">
        <f>IF(Estimation!$B$18="",0,IF(ISNUMBER(SEARCH(LOWER(Estimation!$B$18),F114)),1,0))</f>
        <v>0</v>
      </c>
      <c r="H114" s="5" t="str">
        <f>IF(G114=1,SUM($G$4:G114),"")</f>
        <v/>
      </c>
    </row>
    <row r="115" spans="1:8" x14ac:dyDescent="0.35">
      <c r="A115" s="56" t="s">
        <v>23</v>
      </c>
      <c r="B115" s="56" t="s">
        <v>468</v>
      </c>
      <c r="C115" s="56" t="s">
        <v>469</v>
      </c>
      <c r="D115" s="39">
        <v>1625</v>
      </c>
      <c r="E115" s="56" t="s">
        <v>470</v>
      </c>
      <c r="F115" s="55" t="s">
        <v>471</v>
      </c>
      <c r="G115" s="5">
        <f>IF(Estimation!$B$18="",0,IF(ISNUMBER(SEARCH(LOWER(Estimation!$B$18),F115)),1,0))</f>
        <v>0</v>
      </c>
      <c r="H115" s="5" t="str">
        <f>IF(G115=1,SUM($G$4:G115),"")</f>
        <v/>
      </c>
    </row>
    <row r="116" spans="1:8" x14ac:dyDescent="0.35">
      <c r="A116" s="56" t="s">
        <v>23</v>
      </c>
      <c r="B116" s="56" t="s">
        <v>472</v>
      </c>
      <c r="C116" s="56" t="s">
        <v>473</v>
      </c>
      <c r="D116" s="39">
        <v>453.5</v>
      </c>
      <c r="E116" s="56" t="s">
        <v>474</v>
      </c>
      <c r="F116" s="55" t="s">
        <v>475</v>
      </c>
      <c r="G116" s="5">
        <f>IF(Estimation!$B$18="",0,IF(ISNUMBER(SEARCH(LOWER(Estimation!$B$18),F116)),1,0))</f>
        <v>0</v>
      </c>
      <c r="H116" s="5" t="str">
        <f>IF(G116=1,SUM($G$4:G116),"")</f>
        <v/>
      </c>
    </row>
    <row r="117" spans="1:8" x14ac:dyDescent="0.35">
      <c r="A117" s="56" t="s">
        <v>23</v>
      </c>
      <c r="B117" s="56" t="s">
        <v>476</v>
      </c>
      <c r="C117" s="56" t="s">
        <v>477</v>
      </c>
      <c r="D117" s="39">
        <v>491.5</v>
      </c>
      <c r="E117" s="56" t="s">
        <v>478</v>
      </c>
      <c r="F117" s="55" t="s">
        <v>479</v>
      </c>
      <c r="G117" s="5">
        <f>IF(Estimation!$B$18="",0,IF(ISNUMBER(SEARCH(LOWER(Estimation!$B$18),F117)),1,0))</f>
        <v>0</v>
      </c>
      <c r="H117" s="5" t="str">
        <f>IF(G117=1,SUM($G$4:G117),"")</f>
        <v/>
      </c>
    </row>
    <row r="118" spans="1:8" x14ac:dyDescent="0.35">
      <c r="A118" s="56" t="s">
        <v>23</v>
      </c>
      <c r="B118" s="56" t="s">
        <v>480</v>
      </c>
      <c r="C118" s="56" t="s">
        <v>481</v>
      </c>
      <c r="D118" s="39">
        <v>1098.8</v>
      </c>
      <c r="E118" s="56" t="s">
        <v>482</v>
      </c>
      <c r="F118" s="55" t="s">
        <v>483</v>
      </c>
      <c r="G118" s="5">
        <f>IF(Estimation!$B$18="",0,IF(ISNUMBER(SEARCH(LOWER(Estimation!$B$18),F118)),1,0))</f>
        <v>0</v>
      </c>
      <c r="H118" s="5" t="str">
        <f>IF(G118=1,SUM($G$4:G118),"")</f>
        <v/>
      </c>
    </row>
    <row r="119" spans="1:8" x14ac:dyDescent="0.35">
      <c r="A119" s="56" t="s">
        <v>23</v>
      </c>
      <c r="B119" s="56" t="s">
        <v>484</v>
      </c>
      <c r="C119" s="56" t="s">
        <v>485</v>
      </c>
      <c r="D119" s="39">
        <v>361</v>
      </c>
      <c r="E119" s="56" t="s">
        <v>486</v>
      </c>
      <c r="F119" s="55" t="s">
        <v>487</v>
      </c>
      <c r="G119" s="5">
        <f>IF(Estimation!$B$18="",0,IF(ISNUMBER(SEARCH(LOWER(Estimation!$B$18),F119)),1,0))</f>
        <v>0</v>
      </c>
      <c r="H119" s="5" t="str">
        <f>IF(G119=1,SUM($G$4:G119),"")</f>
        <v/>
      </c>
    </row>
    <row r="120" spans="1:8" x14ac:dyDescent="0.35">
      <c r="A120" s="56" t="s">
        <v>23</v>
      </c>
      <c r="B120" s="56" t="s">
        <v>488</v>
      </c>
      <c r="C120" s="56" t="s">
        <v>489</v>
      </c>
      <c r="D120" s="39">
        <v>463</v>
      </c>
      <c r="E120" s="56" t="s">
        <v>490</v>
      </c>
      <c r="F120" s="55" t="s">
        <v>491</v>
      </c>
      <c r="G120" s="5">
        <f>IF(Estimation!$B$18="",0,IF(ISNUMBER(SEARCH(LOWER(Estimation!$B$18),F120)),1,0))</f>
        <v>0</v>
      </c>
      <c r="H120" s="5" t="str">
        <f>IF(G120=1,SUM($G$4:G120),"")</f>
        <v/>
      </c>
    </row>
    <row r="121" spans="1:8" x14ac:dyDescent="0.35">
      <c r="A121" s="56" t="s">
        <v>23</v>
      </c>
      <c r="B121" s="56" t="s">
        <v>492</v>
      </c>
      <c r="C121" s="56" t="s">
        <v>493</v>
      </c>
      <c r="D121" s="39">
        <v>4895.1000000000004</v>
      </c>
      <c r="E121" s="56" t="s">
        <v>494</v>
      </c>
      <c r="F121" s="55" t="s">
        <v>495</v>
      </c>
      <c r="G121" s="5">
        <f>IF(Estimation!$B$18="",0,IF(ISNUMBER(SEARCH(LOWER(Estimation!$B$18),F121)),1,0))</f>
        <v>0</v>
      </c>
      <c r="H121" s="5" t="str">
        <f>IF(G121=1,SUM($G$4:G121),"")</f>
        <v/>
      </c>
    </row>
    <row r="122" spans="1:8" x14ac:dyDescent="0.35">
      <c r="A122" s="56" t="s">
        <v>23</v>
      </c>
      <c r="B122" s="56" t="s">
        <v>496</v>
      </c>
      <c r="C122" s="56" t="s">
        <v>497</v>
      </c>
      <c r="D122" s="39">
        <v>5850</v>
      </c>
      <c r="E122" s="56" t="s">
        <v>498</v>
      </c>
      <c r="F122" s="55" t="s">
        <v>499</v>
      </c>
      <c r="G122" s="5">
        <f>IF(Estimation!$B$18="",0,IF(ISNUMBER(SEARCH(LOWER(Estimation!$B$18),F122)),1,0))</f>
        <v>0</v>
      </c>
      <c r="H122" s="5" t="str">
        <f>IF(G122=1,SUM($G$4:G122),"")</f>
        <v/>
      </c>
    </row>
    <row r="123" spans="1:8" x14ac:dyDescent="0.35">
      <c r="A123" s="56" t="s">
        <v>23</v>
      </c>
      <c r="B123" s="56" t="s">
        <v>500</v>
      </c>
      <c r="C123" s="56" t="s">
        <v>501</v>
      </c>
      <c r="D123" s="39">
        <v>120</v>
      </c>
      <c r="E123" s="56" t="s">
        <v>502</v>
      </c>
      <c r="F123" s="55" t="s">
        <v>503</v>
      </c>
      <c r="G123" s="5">
        <f>IF(Estimation!$B$18="",0,IF(ISNUMBER(SEARCH(LOWER(Estimation!$B$18),F123)),1,0))</f>
        <v>0</v>
      </c>
      <c r="H123" s="5" t="str">
        <f>IF(G123=1,SUM($G$4:G123),"")</f>
        <v/>
      </c>
    </row>
    <row r="124" spans="1:8" x14ac:dyDescent="0.35">
      <c r="A124" s="56" t="s">
        <v>23</v>
      </c>
      <c r="B124" s="56" t="s">
        <v>504</v>
      </c>
      <c r="C124" s="56" t="s">
        <v>505</v>
      </c>
      <c r="D124" s="39">
        <v>302</v>
      </c>
      <c r="E124" s="56" t="s">
        <v>506</v>
      </c>
      <c r="F124" s="55" t="s">
        <v>507</v>
      </c>
      <c r="G124" s="5">
        <f>IF(Estimation!$B$18="",0,IF(ISNUMBER(SEARCH(LOWER(Estimation!$B$18),F124)),1,0))</f>
        <v>0</v>
      </c>
      <c r="H124" s="5" t="str">
        <f>IF(G124=1,SUM($G$4:G124),"")</f>
        <v/>
      </c>
    </row>
    <row r="125" spans="1:8" x14ac:dyDescent="0.35">
      <c r="A125" s="56" t="s">
        <v>23</v>
      </c>
      <c r="B125" s="56" t="s">
        <v>508</v>
      </c>
      <c r="C125" s="56" t="s">
        <v>509</v>
      </c>
      <c r="D125" s="39">
        <v>44</v>
      </c>
      <c r="E125" s="56" t="s">
        <v>510</v>
      </c>
      <c r="F125" s="55" t="s">
        <v>511</v>
      </c>
      <c r="G125" s="5">
        <f>IF(Estimation!$B$18="",0,IF(ISNUMBER(SEARCH(LOWER(Estimation!$B$18),F125)),1,0))</f>
        <v>0</v>
      </c>
      <c r="H125" s="5" t="str">
        <f>IF(G125=1,SUM($G$4:G125),"")</f>
        <v/>
      </c>
    </row>
    <row r="126" spans="1:8" x14ac:dyDescent="0.35">
      <c r="A126" s="56" t="s">
        <v>23</v>
      </c>
      <c r="B126" s="56" t="s">
        <v>512</v>
      </c>
      <c r="C126" s="56" t="s">
        <v>513</v>
      </c>
      <c r="D126" s="39">
        <v>54</v>
      </c>
      <c r="E126" s="56" t="s">
        <v>514</v>
      </c>
      <c r="F126" s="55" t="s">
        <v>515</v>
      </c>
      <c r="G126" s="5">
        <f>IF(Estimation!$B$18="",0,IF(ISNUMBER(SEARCH(LOWER(Estimation!$B$18),F126)),1,0))</f>
        <v>0</v>
      </c>
      <c r="H126" s="5" t="str">
        <f>IF(G126=1,SUM($G$4:G126),"")</f>
        <v/>
      </c>
    </row>
    <row r="127" spans="1:8" x14ac:dyDescent="0.35">
      <c r="A127" s="56" t="s">
        <v>23</v>
      </c>
      <c r="B127" s="56" t="s">
        <v>516</v>
      </c>
      <c r="C127" s="56" t="s">
        <v>517</v>
      </c>
      <c r="D127" s="39">
        <v>244.5</v>
      </c>
      <c r="E127" s="56" t="s">
        <v>518</v>
      </c>
      <c r="F127" s="55" t="s">
        <v>519</v>
      </c>
      <c r="G127" s="5">
        <f>IF(Estimation!$B$18="",0,IF(ISNUMBER(SEARCH(LOWER(Estimation!$B$18),F127)),1,0))</f>
        <v>0</v>
      </c>
      <c r="H127" s="5" t="str">
        <f>IF(G127=1,SUM($G$4:G127),"")</f>
        <v/>
      </c>
    </row>
    <row r="128" spans="1:8" x14ac:dyDescent="0.35">
      <c r="A128" s="56" t="s">
        <v>23</v>
      </c>
      <c r="B128" s="56" t="s">
        <v>520</v>
      </c>
      <c r="C128" s="56" t="s">
        <v>521</v>
      </c>
      <c r="D128" s="39">
        <v>75</v>
      </c>
      <c r="E128" s="56" t="s">
        <v>522</v>
      </c>
      <c r="F128" s="55" t="s">
        <v>523</v>
      </c>
      <c r="G128" s="5">
        <f>IF(Estimation!$B$18="",0,IF(ISNUMBER(SEARCH(LOWER(Estimation!$B$18),F128)),1,0))</f>
        <v>0</v>
      </c>
      <c r="H128" s="5" t="str">
        <f>IF(G128=1,SUM($G$4:G128),"")</f>
        <v/>
      </c>
    </row>
    <row r="129" spans="1:8" x14ac:dyDescent="0.35">
      <c r="A129" s="56" t="s">
        <v>23</v>
      </c>
      <c r="B129" s="56" t="s">
        <v>524</v>
      </c>
      <c r="C129" s="56" t="s">
        <v>525</v>
      </c>
      <c r="D129" s="39">
        <v>4.9000000000000004</v>
      </c>
      <c r="E129" s="56" t="s">
        <v>526</v>
      </c>
      <c r="F129" s="55" t="s">
        <v>527</v>
      </c>
      <c r="G129" s="5">
        <f>IF(Estimation!$B$18="",0,IF(ISNUMBER(SEARCH(LOWER(Estimation!$B$18),F129)),1,0))</f>
        <v>0</v>
      </c>
      <c r="H129" s="5" t="str">
        <f>IF(G129=1,SUM($G$4:G129),"")</f>
        <v/>
      </c>
    </row>
    <row r="130" spans="1:8" x14ac:dyDescent="0.35">
      <c r="A130" s="56" t="s">
        <v>23</v>
      </c>
      <c r="B130" s="56" t="s">
        <v>528</v>
      </c>
      <c r="C130" s="56" t="s">
        <v>529</v>
      </c>
      <c r="D130" s="39">
        <v>12</v>
      </c>
      <c r="E130" s="56" t="s">
        <v>530</v>
      </c>
      <c r="F130" s="55" t="s">
        <v>531</v>
      </c>
      <c r="G130" s="5">
        <f>IF(Estimation!$B$18="",0,IF(ISNUMBER(SEARCH(LOWER(Estimation!$B$18),F130)),1,0))</f>
        <v>0</v>
      </c>
      <c r="H130" s="5" t="str">
        <f>IF(G130=1,SUM($G$4:G130),"")</f>
        <v/>
      </c>
    </row>
    <row r="131" spans="1:8" x14ac:dyDescent="0.35">
      <c r="A131" s="56" t="s">
        <v>23</v>
      </c>
      <c r="B131" s="56" t="s">
        <v>532</v>
      </c>
      <c r="C131" s="56" t="s">
        <v>533</v>
      </c>
      <c r="D131" s="39">
        <v>217</v>
      </c>
      <c r="E131" s="56" t="s">
        <v>534</v>
      </c>
      <c r="F131" s="55" t="s">
        <v>535</v>
      </c>
      <c r="G131" s="5">
        <f>IF(Estimation!$B$18="",0,IF(ISNUMBER(SEARCH(LOWER(Estimation!$B$18),F131)),1,0))</f>
        <v>0</v>
      </c>
      <c r="H131" s="5" t="str">
        <f>IF(G131=1,SUM($G$4:G131),"")</f>
        <v/>
      </c>
    </row>
    <row r="132" spans="1:8" x14ac:dyDescent="0.35">
      <c r="A132" s="56" t="s">
        <v>23</v>
      </c>
      <c r="B132" s="56" t="s">
        <v>536</v>
      </c>
      <c r="C132" s="56" t="s">
        <v>537</v>
      </c>
      <c r="D132" s="39">
        <v>210</v>
      </c>
      <c r="E132" s="56" t="s">
        <v>538</v>
      </c>
      <c r="F132" s="55" t="s">
        <v>539</v>
      </c>
      <c r="G132" s="5">
        <f>IF(Estimation!$B$18="",0,IF(ISNUMBER(SEARCH(LOWER(Estimation!$B$18),F132)),1,0))</f>
        <v>0</v>
      </c>
      <c r="H132" s="5" t="str">
        <f>IF(G132=1,SUM($G$4:G132),"")</f>
        <v/>
      </c>
    </row>
    <row r="133" spans="1:8" x14ac:dyDescent="0.35">
      <c r="A133" s="56" t="s">
        <v>23</v>
      </c>
      <c r="B133" s="56" t="s">
        <v>540</v>
      </c>
      <c r="C133" s="56" t="s">
        <v>541</v>
      </c>
      <c r="D133" s="39">
        <v>241</v>
      </c>
      <c r="E133" s="56" t="s">
        <v>542</v>
      </c>
      <c r="F133" s="55" t="s">
        <v>543</v>
      </c>
      <c r="G133" s="5">
        <f>IF(Estimation!$B$18="",0,IF(ISNUMBER(SEARCH(LOWER(Estimation!$B$18),F133)),1,0))</f>
        <v>0</v>
      </c>
      <c r="H133" s="5" t="str">
        <f>IF(G133=1,SUM($G$4:G133),"")</f>
        <v/>
      </c>
    </row>
    <row r="134" spans="1:8" x14ac:dyDescent="0.35">
      <c r="A134" s="56" t="s">
        <v>23</v>
      </c>
      <c r="B134" s="56" t="s">
        <v>544</v>
      </c>
      <c r="C134" s="56" t="s">
        <v>545</v>
      </c>
      <c r="D134" s="39">
        <v>113.5</v>
      </c>
      <c r="E134" s="56" t="s">
        <v>546</v>
      </c>
      <c r="F134" s="55" t="s">
        <v>547</v>
      </c>
      <c r="G134" s="5">
        <f>IF(Estimation!$B$18="",0,IF(ISNUMBER(SEARCH(LOWER(Estimation!$B$18),F134)),1,0))</f>
        <v>0</v>
      </c>
      <c r="H134" s="5" t="str">
        <f>IF(G134=1,SUM($G$4:G134),"")</f>
        <v/>
      </c>
    </row>
    <row r="135" spans="1:8" x14ac:dyDescent="0.35">
      <c r="A135" s="56" t="s">
        <v>23</v>
      </c>
      <c r="B135" s="56" t="s">
        <v>548</v>
      </c>
      <c r="C135" s="56" t="s">
        <v>549</v>
      </c>
      <c r="D135" s="39">
        <v>128.5</v>
      </c>
      <c r="E135" s="56" t="s">
        <v>550</v>
      </c>
      <c r="F135" s="55" t="s">
        <v>551</v>
      </c>
      <c r="G135" s="5">
        <f>IF(Estimation!$B$18="",0,IF(ISNUMBER(SEARCH(LOWER(Estimation!$B$18),F135)),1,0))</f>
        <v>0</v>
      </c>
      <c r="H135" s="5" t="str">
        <f>IF(G135=1,SUM($G$4:G135),"")</f>
        <v/>
      </c>
    </row>
    <row r="136" spans="1:8" x14ac:dyDescent="0.35">
      <c r="A136" s="56" t="s">
        <v>23</v>
      </c>
      <c r="B136" s="56" t="s">
        <v>552</v>
      </c>
      <c r="C136" s="56" t="s">
        <v>541</v>
      </c>
      <c r="D136" s="39">
        <v>181</v>
      </c>
      <c r="E136" s="56" t="s">
        <v>553</v>
      </c>
      <c r="F136" s="55" t="s">
        <v>554</v>
      </c>
      <c r="G136" s="5">
        <f>IF(Estimation!$B$18="",0,IF(ISNUMBER(SEARCH(LOWER(Estimation!$B$18),F136)),1,0))</f>
        <v>0</v>
      </c>
      <c r="H136" s="5" t="str">
        <f>IF(G136=1,SUM($G$4:G136),"")</f>
        <v/>
      </c>
    </row>
    <row r="137" spans="1:8" x14ac:dyDescent="0.35">
      <c r="A137" s="56" t="s">
        <v>23</v>
      </c>
      <c r="B137" s="56" t="s">
        <v>555</v>
      </c>
      <c r="C137" s="56" t="s">
        <v>556</v>
      </c>
      <c r="D137" s="39">
        <v>181</v>
      </c>
      <c r="E137" s="56" t="s">
        <v>557</v>
      </c>
      <c r="F137" s="55" t="s">
        <v>558</v>
      </c>
      <c r="G137" s="5">
        <f>IF(Estimation!$B$18="",0,IF(ISNUMBER(SEARCH(LOWER(Estimation!$B$18),F137)),1,0))</f>
        <v>0</v>
      </c>
      <c r="H137" s="5" t="str">
        <f>IF(G137=1,SUM($G$4:G137),"")</f>
        <v/>
      </c>
    </row>
    <row r="138" spans="1:8" x14ac:dyDescent="0.35">
      <c r="A138" s="56" t="s">
        <v>23</v>
      </c>
      <c r="B138" s="56" t="s">
        <v>559</v>
      </c>
      <c r="C138" s="56" t="s">
        <v>560</v>
      </c>
      <c r="D138" s="39">
        <v>99</v>
      </c>
      <c r="E138" s="56" t="s">
        <v>561</v>
      </c>
      <c r="F138" s="55" t="s">
        <v>562</v>
      </c>
      <c r="G138" s="5">
        <f>IF(Estimation!$B$18="",0,IF(ISNUMBER(SEARCH(LOWER(Estimation!$B$18),F138)),1,0))</f>
        <v>0</v>
      </c>
      <c r="H138" s="5" t="str">
        <f>IF(G138=1,SUM($G$4:G138),"")</f>
        <v/>
      </c>
    </row>
    <row r="139" spans="1:8" x14ac:dyDescent="0.35">
      <c r="A139" s="56" t="s">
        <v>23</v>
      </c>
      <c r="B139" s="56" t="s">
        <v>563</v>
      </c>
      <c r="C139" s="56" t="s">
        <v>564</v>
      </c>
      <c r="D139" s="39">
        <v>282</v>
      </c>
      <c r="E139" s="56" t="s">
        <v>565</v>
      </c>
      <c r="F139" s="55" t="s">
        <v>566</v>
      </c>
      <c r="G139" s="5">
        <f>IF(Estimation!$B$18="",0,IF(ISNUMBER(SEARCH(LOWER(Estimation!$B$18),F139)),1,0))</f>
        <v>0</v>
      </c>
      <c r="H139" s="5" t="str">
        <f>IF(G139=1,SUM($G$4:G139),"")</f>
        <v/>
      </c>
    </row>
    <row r="140" spans="1:8" x14ac:dyDescent="0.35">
      <c r="A140" s="56" t="s">
        <v>23</v>
      </c>
      <c r="B140" s="56" t="s">
        <v>567</v>
      </c>
      <c r="C140" s="56" t="s">
        <v>568</v>
      </c>
      <c r="D140" s="39">
        <v>540</v>
      </c>
      <c r="E140" s="56" t="s">
        <v>569</v>
      </c>
      <c r="F140" s="55" t="s">
        <v>570</v>
      </c>
      <c r="G140" s="5">
        <f>IF(Estimation!$B$18="",0,IF(ISNUMBER(SEARCH(LOWER(Estimation!$B$18),F140)),1,0))</f>
        <v>0</v>
      </c>
      <c r="H140" s="5" t="str">
        <f>IF(G140=1,SUM($G$4:G140),"")</f>
        <v/>
      </c>
    </row>
    <row r="141" spans="1:8" x14ac:dyDescent="0.35">
      <c r="A141" s="56" t="s">
        <v>23</v>
      </c>
      <c r="B141" s="56" t="s">
        <v>571</v>
      </c>
      <c r="C141" s="56" t="s">
        <v>572</v>
      </c>
      <c r="D141" s="39">
        <v>531</v>
      </c>
      <c r="E141" s="56" t="s">
        <v>573</v>
      </c>
      <c r="F141" s="55" t="s">
        <v>574</v>
      </c>
      <c r="G141" s="5">
        <f>IF(Estimation!$B$18="",0,IF(ISNUMBER(SEARCH(LOWER(Estimation!$B$18),F141)),1,0))</f>
        <v>0</v>
      </c>
      <c r="H141" s="5" t="str">
        <f>IF(G141=1,SUM($G$4:G141),"")</f>
        <v/>
      </c>
    </row>
    <row r="142" spans="1:8" x14ac:dyDescent="0.35">
      <c r="A142" s="56" t="s">
        <v>23</v>
      </c>
      <c r="B142" s="56" t="s">
        <v>575</v>
      </c>
      <c r="C142" s="56" t="s">
        <v>576</v>
      </c>
      <c r="D142" s="39">
        <v>70</v>
      </c>
      <c r="E142" s="56" t="s">
        <v>577</v>
      </c>
      <c r="F142" s="55" t="s">
        <v>578</v>
      </c>
      <c r="G142" s="5">
        <f>IF(Estimation!$B$18="",0,IF(ISNUMBER(SEARCH(LOWER(Estimation!$B$18),F142)),1,0))</f>
        <v>0</v>
      </c>
      <c r="H142" s="5" t="str">
        <f>IF(G142=1,SUM($G$4:G142),"")</f>
        <v/>
      </c>
    </row>
    <row r="143" spans="1:8" x14ac:dyDescent="0.35">
      <c r="A143" s="56" t="s">
        <v>23</v>
      </c>
      <c r="B143" s="56" t="s">
        <v>579</v>
      </c>
      <c r="C143" s="56" t="s">
        <v>580</v>
      </c>
      <c r="D143" s="39">
        <v>70</v>
      </c>
      <c r="E143" s="56" t="s">
        <v>581</v>
      </c>
      <c r="F143" s="55" t="s">
        <v>582</v>
      </c>
      <c r="G143" s="5">
        <f>IF(Estimation!$B$18="",0,IF(ISNUMBER(SEARCH(LOWER(Estimation!$B$18),F143)),1,0))</f>
        <v>0</v>
      </c>
      <c r="H143" s="5" t="str">
        <f>IF(G143=1,SUM($G$4:G143),"")</f>
        <v/>
      </c>
    </row>
    <row r="144" spans="1:8" x14ac:dyDescent="0.35">
      <c r="A144" s="56" t="s">
        <v>23</v>
      </c>
      <c r="B144" s="56" t="s">
        <v>583</v>
      </c>
      <c r="C144" s="56" t="s">
        <v>584</v>
      </c>
      <c r="D144" s="39">
        <v>128</v>
      </c>
      <c r="E144" s="56" t="s">
        <v>585</v>
      </c>
      <c r="F144" s="55" t="s">
        <v>586</v>
      </c>
      <c r="G144" s="5">
        <f>IF(Estimation!$B$18="",0,IF(ISNUMBER(SEARCH(LOWER(Estimation!$B$18),F144)),1,0))</f>
        <v>0</v>
      </c>
      <c r="H144" s="5" t="str">
        <f>IF(G144=1,SUM($G$4:G144),"")</f>
        <v/>
      </c>
    </row>
    <row r="145" spans="1:8" x14ac:dyDescent="0.35">
      <c r="A145" s="56" t="s">
        <v>23</v>
      </c>
      <c r="B145" s="56" t="s">
        <v>587</v>
      </c>
      <c r="C145" s="56" t="s">
        <v>588</v>
      </c>
      <c r="D145" s="39">
        <v>123</v>
      </c>
      <c r="E145" s="56" t="s">
        <v>589</v>
      </c>
      <c r="F145" s="55" t="s">
        <v>590</v>
      </c>
      <c r="G145" s="5">
        <f>IF(Estimation!$B$18="",0,IF(ISNUMBER(SEARCH(LOWER(Estimation!$B$18),F145)),1,0))</f>
        <v>0</v>
      </c>
      <c r="H145" s="5" t="str">
        <f>IF(G145=1,SUM($G$4:G145),"")</f>
        <v/>
      </c>
    </row>
    <row r="146" spans="1:8" x14ac:dyDescent="0.35">
      <c r="A146" s="56" t="s">
        <v>23</v>
      </c>
      <c r="B146" s="56" t="s">
        <v>591</v>
      </c>
      <c r="C146" s="56" t="s">
        <v>592</v>
      </c>
      <c r="D146" s="39">
        <v>128</v>
      </c>
      <c r="E146" s="56" t="s">
        <v>593</v>
      </c>
      <c r="F146" s="55" t="s">
        <v>594</v>
      </c>
      <c r="G146" s="5">
        <f>IF(Estimation!$B$18="",0,IF(ISNUMBER(SEARCH(LOWER(Estimation!$B$18),F146)),1,0))</f>
        <v>0</v>
      </c>
      <c r="H146" s="5" t="str">
        <f>IF(G146=1,SUM($G$4:G146),"")</f>
        <v/>
      </c>
    </row>
    <row r="147" spans="1:8" x14ac:dyDescent="0.35">
      <c r="A147" s="56" t="s">
        <v>23</v>
      </c>
      <c r="B147" s="56" t="s">
        <v>595</v>
      </c>
      <c r="C147" s="56" t="s">
        <v>596</v>
      </c>
      <c r="D147" s="39">
        <v>253</v>
      </c>
      <c r="E147" s="56" t="s">
        <v>597</v>
      </c>
      <c r="F147" s="55" t="s">
        <v>598</v>
      </c>
      <c r="G147" s="5">
        <f>IF(Estimation!$B$18="",0,IF(ISNUMBER(SEARCH(LOWER(Estimation!$B$18),F147)),1,0))</f>
        <v>0</v>
      </c>
      <c r="H147" s="5" t="str">
        <f>IF(G147=1,SUM($G$4:G147),"")</f>
        <v/>
      </c>
    </row>
    <row r="148" spans="1:8" x14ac:dyDescent="0.35">
      <c r="A148" s="56" t="s">
        <v>23</v>
      </c>
      <c r="B148" s="56" t="s">
        <v>599</v>
      </c>
      <c r="C148" s="56" t="s">
        <v>600</v>
      </c>
      <c r="D148" s="39">
        <v>810</v>
      </c>
      <c r="E148" s="56" t="s">
        <v>601</v>
      </c>
      <c r="F148" s="55" t="s">
        <v>602</v>
      </c>
      <c r="G148" s="5">
        <f>IF(Estimation!$B$18="",0,IF(ISNUMBER(SEARCH(LOWER(Estimation!$B$18),F148)),1,0))</f>
        <v>0</v>
      </c>
      <c r="H148" s="5" t="str">
        <f>IF(G148=1,SUM($G$4:G148),"")</f>
        <v/>
      </c>
    </row>
    <row r="149" spans="1:8" x14ac:dyDescent="0.35">
      <c r="A149" s="56" t="s">
        <v>23</v>
      </c>
      <c r="B149" s="56" t="s">
        <v>603</v>
      </c>
      <c r="C149" s="56" t="s">
        <v>604</v>
      </c>
      <c r="D149" s="39">
        <v>1200</v>
      </c>
      <c r="E149" s="56" t="s">
        <v>605</v>
      </c>
      <c r="F149" s="55" t="s">
        <v>606</v>
      </c>
      <c r="G149" s="5">
        <f>IF(Estimation!$B$18="",0,IF(ISNUMBER(SEARCH(LOWER(Estimation!$B$18),F149)),1,0))</f>
        <v>0</v>
      </c>
      <c r="H149" s="5" t="str">
        <f>IF(G149=1,SUM($G$4:G149),"")</f>
        <v/>
      </c>
    </row>
    <row r="150" spans="1:8" x14ac:dyDescent="0.35">
      <c r="A150" s="56" t="s">
        <v>23</v>
      </c>
      <c r="B150" s="56" t="s">
        <v>607</v>
      </c>
      <c r="C150" s="56" t="s">
        <v>608</v>
      </c>
      <c r="D150" s="39">
        <v>1060</v>
      </c>
      <c r="E150" s="56" t="s">
        <v>609</v>
      </c>
      <c r="F150" s="55" t="s">
        <v>610</v>
      </c>
      <c r="G150" s="5">
        <f>IF(Estimation!$B$18="",0,IF(ISNUMBER(SEARCH(LOWER(Estimation!$B$18),F150)),1,0))</f>
        <v>0</v>
      </c>
      <c r="H150" s="5" t="str">
        <f>IF(G150=1,SUM($G$4:G150),"")</f>
        <v/>
      </c>
    </row>
    <row r="151" spans="1:8" x14ac:dyDescent="0.35">
      <c r="A151" s="56" t="s">
        <v>23</v>
      </c>
      <c r="B151" s="56" t="s">
        <v>611</v>
      </c>
      <c r="C151" s="56" t="s">
        <v>612</v>
      </c>
      <c r="D151" s="39">
        <v>1450</v>
      </c>
      <c r="E151" s="56" t="s">
        <v>613</v>
      </c>
      <c r="F151" s="55" t="s">
        <v>614</v>
      </c>
      <c r="G151" s="5">
        <f>IF(Estimation!$B$18="",0,IF(ISNUMBER(SEARCH(LOWER(Estimation!$B$18),F151)),1,0))</f>
        <v>0</v>
      </c>
      <c r="H151" s="5" t="str">
        <f>IF(G151=1,SUM($G$4:G151),"")</f>
        <v/>
      </c>
    </row>
    <row r="152" spans="1:8" x14ac:dyDescent="0.35">
      <c r="A152" s="56" t="s">
        <v>23</v>
      </c>
      <c r="B152" s="56" t="s">
        <v>615</v>
      </c>
      <c r="C152" s="56" t="s">
        <v>616</v>
      </c>
      <c r="D152" s="39">
        <v>72</v>
      </c>
      <c r="E152" s="56" t="s">
        <v>617</v>
      </c>
      <c r="F152" s="55" t="s">
        <v>618</v>
      </c>
      <c r="G152" s="5">
        <f>IF(Estimation!$B$18="",0,IF(ISNUMBER(SEARCH(LOWER(Estimation!$B$18),F152)),1,0))</f>
        <v>0</v>
      </c>
      <c r="H152" s="5" t="str">
        <f>IF(G152=1,SUM($G$4:G152),"")</f>
        <v/>
      </c>
    </row>
    <row r="153" spans="1:8" x14ac:dyDescent="0.35">
      <c r="A153" s="56" t="s">
        <v>23</v>
      </c>
      <c r="B153" s="56" t="s">
        <v>619</v>
      </c>
      <c r="C153" s="56" t="s">
        <v>620</v>
      </c>
      <c r="D153" s="39">
        <v>216</v>
      </c>
      <c r="E153" s="56" t="s">
        <v>621</v>
      </c>
      <c r="F153" s="55" t="s">
        <v>622</v>
      </c>
      <c r="G153" s="5">
        <f>IF(Estimation!$B$18="",0,IF(ISNUMBER(SEARCH(LOWER(Estimation!$B$18),F153)),1,0))</f>
        <v>0</v>
      </c>
      <c r="H153" s="5" t="str">
        <f>IF(G153=1,SUM($G$4:G153),"")</f>
        <v/>
      </c>
    </row>
    <row r="154" spans="1:8" x14ac:dyDescent="0.35">
      <c r="A154" s="56" t="s">
        <v>23</v>
      </c>
      <c r="B154" s="56" t="s">
        <v>623</v>
      </c>
      <c r="C154" s="56" t="s">
        <v>624</v>
      </c>
      <c r="D154" s="39">
        <v>168</v>
      </c>
      <c r="E154" s="56" t="s">
        <v>625</v>
      </c>
      <c r="F154" s="55" t="s">
        <v>626</v>
      </c>
      <c r="G154" s="5">
        <f>IF(Estimation!$B$18="",0,IF(ISNUMBER(SEARCH(LOWER(Estimation!$B$18),F154)),1,0))</f>
        <v>0</v>
      </c>
      <c r="H154" s="5" t="str">
        <f>IF(G154=1,SUM($G$4:G154),"")</f>
        <v/>
      </c>
    </row>
    <row r="155" spans="1:8" x14ac:dyDescent="0.35">
      <c r="A155" s="56" t="s">
        <v>23</v>
      </c>
      <c r="B155" s="56" t="s">
        <v>627</v>
      </c>
      <c r="C155" s="56" t="s">
        <v>628</v>
      </c>
      <c r="D155" s="39">
        <v>61</v>
      </c>
      <c r="E155" s="56" t="s">
        <v>629</v>
      </c>
      <c r="F155" s="55" t="s">
        <v>630</v>
      </c>
      <c r="G155" s="5">
        <f>IF(Estimation!$B$18="",0,IF(ISNUMBER(SEARCH(LOWER(Estimation!$B$18),F155)),1,0))</f>
        <v>0</v>
      </c>
      <c r="H155" s="5" t="str">
        <f>IF(G155=1,SUM($G$4:G155),"")</f>
        <v/>
      </c>
    </row>
    <row r="156" spans="1:8" x14ac:dyDescent="0.35">
      <c r="A156" s="56" t="s">
        <v>23</v>
      </c>
      <c r="B156" s="56" t="s">
        <v>631</v>
      </c>
      <c r="C156" s="56" t="s">
        <v>632</v>
      </c>
      <c r="D156" s="39">
        <v>184</v>
      </c>
      <c r="E156" s="56" t="s">
        <v>633</v>
      </c>
      <c r="F156" s="55" t="s">
        <v>634</v>
      </c>
      <c r="G156" s="5">
        <f>IF(Estimation!$B$18="",0,IF(ISNUMBER(SEARCH(LOWER(Estimation!$B$18),F156)),1,0))</f>
        <v>0</v>
      </c>
      <c r="H156" s="5" t="str">
        <f>IF(G156=1,SUM($G$4:G156),"")</f>
        <v/>
      </c>
    </row>
    <row r="157" spans="1:8" x14ac:dyDescent="0.35">
      <c r="A157" s="56" t="s">
        <v>23</v>
      </c>
      <c r="B157" s="56" t="s">
        <v>635</v>
      </c>
      <c r="C157" s="56" t="s">
        <v>636</v>
      </c>
      <c r="D157" s="39">
        <v>63</v>
      </c>
      <c r="E157" s="56" t="s">
        <v>637</v>
      </c>
      <c r="F157" s="55" t="s">
        <v>638</v>
      </c>
      <c r="G157" s="5">
        <f>IF(Estimation!$B$18="",0,IF(ISNUMBER(SEARCH(LOWER(Estimation!$B$18),F157)),1,0))</f>
        <v>0</v>
      </c>
      <c r="H157" s="5" t="str">
        <f>IF(G157=1,SUM($G$4:G157),"")</f>
        <v/>
      </c>
    </row>
    <row r="158" spans="1:8" x14ac:dyDescent="0.35">
      <c r="A158" s="56" t="s">
        <v>23</v>
      </c>
      <c r="B158" s="56" t="s">
        <v>639</v>
      </c>
      <c r="C158" s="56" t="s">
        <v>640</v>
      </c>
      <c r="D158" s="39">
        <v>175</v>
      </c>
      <c r="E158" s="56" t="s">
        <v>641</v>
      </c>
      <c r="F158" s="55" t="s">
        <v>642</v>
      </c>
      <c r="G158" s="5">
        <f>IF(Estimation!$B$18="",0,IF(ISNUMBER(SEARCH(LOWER(Estimation!$B$18),F158)),1,0))</f>
        <v>0</v>
      </c>
      <c r="H158" s="5" t="str">
        <f>IF(G158=1,SUM($G$4:G158),"")</f>
        <v/>
      </c>
    </row>
    <row r="159" spans="1:8" x14ac:dyDescent="0.35">
      <c r="A159" s="56" t="s">
        <v>23</v>
      </c>
      <c r="B159" s="56" t="s">
        <v>643</v>
      </c>
      <c r="C159" s="56" t="s">
        <v>644</v>
      </c>
      <c r="D159" s="39">
        <v>95</v>
      </c>
      <c r="E159" s="56" t="s">
        <v>645</v>
      </c>
      <c r="F159" s="55" t="s">
        <v>646</v>
      </c>
      <c r="G159" s="5">
        <f>IF(Estimation!$B$18="",0,IF(ISNUMBER(SEARCH(LOWER(Estimation!$B$18),F159)),1,0))</f>
        <v>0</v>
      </c>
      <c r="H159" s="5" t="str">
        <f>IF(G159=1,SUM($G$4:G159),"")</f>
        <v/>
      </c>
    </row>
    <row r="160" spans="1:8" x14ac:dyDescent="0.35">
      <c r="A160" s="56" t="s">
        <v>23</v>
      </c>
      <c r="B160" s="56" t="s">
        <v>647</v>
      </c>
      <c r="C160" s="56" t="s">
        <v>648</v>
      </c>
      <c r="D160" s="39">
        <v>125</v>
      </c>
      <c r="E160" s="56" t="s">
        <v>649</v>
      </c>
      <c r="F160" s="55" t="s">
        <v>650</v>
      </c>
      <c r="G160" s="5">
        <f>IF(Estimation!$B$18="",0,IF(ISNUMBER(SEARCH(LOWER(Estimation!$B$18),F160)),1,0))</f>
        <v>0</v>
      </c>
      <c r="H160" s="5" t="str">
        <f>IF(G160=1,SUM($G$4:G160),"")</f>
        <v/>
      </c>
    </row>
    <row r="161" spans="1:8" x14ac:dyDescent="0.35">
      <c r="A161" s="56" t="s">
        <v>23</v>
      </c>
      <c r="B161" s="56" t="s">
        <v>651</v>
      </c>
      <c r="C161" s="56" t="s">
        <v>652</v>
      </c>
      <c r="D161" s="39">
        <v>137</v>
      </c>
      <c r="E161" s="56" t="s">
        <v>653</v>
      </c>
      <c r="F161" s="55" t="s">
        <v>654</v>
      </c>
      <c r="G161" s="5">
        <f>IF(Estimation!$B$18="",0,IF(ISNUMBER(SEARCH(LOWER(Estimation!$B$18),F161)),1,0))</f>
        <v>0</v>
      </c>
      <c r="H161" s="5" t="str">
        <f>IF(G161=1,SUM($G$4:G161),"")</f>
        <v/>
      </c>
    </row>
    <row r="162" spans="1:8" x14ac:dyDescent="0.35">
      <c r="A162" s="56" t="s">
        <v>23</v>
      </c>
      <c r="B162" s="56" t="s">
        <v>655</v>
      </c>
      <c r="C162" s="56" t="s">
        <v>656</v>
      </c>
      <c r="D162" s="39">
        <v>166.5</v>
      </c>
      <c r="E162" s="56" t="s">
        <v>657</v>
      </c>
      <c r="F162" s="55" t="s">
        <v>658</v>
      </c>
      <c r="G162" s="5">
        <f>IF(Estimation!$B$18="",0,IF(ISNUMBER(SEARCH(LOWER(Estimation!$B$18),F162)),1,0))</f>
        <v>0</v>
      </c>
      <c r="H162" s="5" t="str">
        <f>IF(G162=1,SUM($G$4:G162),"")</f>
        <v/>
      </c>
    </row>
    <row r="163" spans="1:8" x14ac:dyDescent="0.35">
      <c r="A163" s="56" t="s">
        <v>23</v>
      </c>
      <c r="B163" s="56" t="s">
        <v>659</v>
      </c>
      <c r="C163" s="56" t="s">
        <v>660</v>
      </c>
      <c r="D163" s="39">
        <v>860</v>
      </c>
      <c r="E163" s="56" t="s">
        <v>661</v>
      </c>
      <c r="F163" s="55" t="s">
        <v>662</v>
      </c>
      <c r="G163" s="5">
        <f>IF(Estimation!$B$18="",0,IF(ISNUMBER(SEARCH(LOWER(Estimation!$B$18),F163)),1,0))</f>
        <v>0</v>
      </c>
      <c r="H163" s="5" t="str">
        <f>IF(G163=1,SUM($G$4:G163),"")</f>
        <v/>
      </c>
    </row>
    <row r="164" spans="1:8" x14ac:dyDescent="0.35">
      <c r="A164" s="56" t="s">
        <v>23</v>
      </c>
      <c r="B164" s="56" t="s">
        <v>663</v>
      </c>
      <c r="C164" s="56" t="s">
        <v>664</v>
      </c>
      <c r="D164" s="39">
        <v>228</v>
      </c>
      <c r="E164" s="56" t="s">
        <v>665</v>
      </c>
      <c r="F164" s="55" t="s">
        <v>666</v>
      </c>
      <c r="G164" s="5">
        <f>IF(Estimation!$B$18="",0,IF(ISNUMBER(SEARCH(LOWER(Estimation!$B$18),F164)),1,0))</f>
        <v>0</v>
      </c>
      <c r="H164" s="5" t="str">
        <f>IF(G164=1,SUM($G$4:G164),"")</f>
        <v/>
      </c>
    </row>
    <row r="165" spans="1:8" x14ac:dyDescent="0.35">
      <c r="A165" s="56" t="s">
        <v>23</v>
      </c>
      <c r="B165" s="56" t="s">
        <v>667</v>
      </c>
      <c r="C165" s="56" t="s">
        <v>668</v>
      </c>
      <c r="D165" s="39">
        <v>375</v>
      </c>
      <c r="E165" s="56" t="s">
        <v>669</v>
      </c>
      <c r="F165" s="55" t="s">
        <v>670</v>
      </c>
      <c r="G165" s="5">
        <f>IF(Estimation!$B$18="",0,IF(ISNUMBER(SEARCH(LOWER(Estimation!$B$18),F165)),1,0))</f>
        <v>0</v>
      </c>
      <c r="H165" s="5" t="str">
        <f>IF(G165=1,SUM($G$4:G165),"")</f>
        <v/>
      </c>
    </row>
    <row r="166" spans="1:8" x14ac:dyDescent="0.35">
      <c r="A166" s="56" t="s">
        <v>23</v>
      </c>
      <c r="B166" s="56" t="s">
        <v>671</v>
      </c>
      <c r="C166" s="56" t="s">
        <v>672</v>
      </c>
      <c r="D166" s="39">
        <v>80.5</v>
      </c>
      <c r="E166" s="56" t="s">
        <v>673</v>
      </c>
      <c r="F166" s="55" t="s">
        <v>674</v>
      </c>
      <c r="G166" s="5">
        <f>IF(Estimation!$B$18="",0,IF(ISNUMBER(SEARCH(LOWER(Estimation!$B$18),F166)),1,0))</f>
        <v>0</v>
      </c>
      <c r="H166" s="5" t="str">
        <f>IF(G166=1,SUM($G$4:G166),"")</f>
        <v/>
      </c>
    </row>
    <row r="167" spans="1:8" x14ac:dyDescent="0.35">
      <c r="A167" s="56" t="s">
        <v>23</v>
      </c>
      <c r="B167" s="56" t="s">
        <v>675</v>
      </c>
      <c r="C167" s="56" t="s">
        <v>676</v>
      </c>
      <c r="D167" s="39">
        <v>75.5</v>
      </c>
      <c r="E167" s="56" t="s">
        <v>677</v>
      </c>
      <c r="F167" s="55" t="s">
        <v>678</v>
      </c>
      <c r="G167" s="5">
        <f>IF(Estimation!$B$18="",0,IF(ISNUMBER(SEARCH(LOWER(Estimation!$B$18),F167)),1,0))</f>
        <v>0</v>
      </c>
      <c r="H167" s="5" t="str">
        <f>IF(G167=1,SUM($G$4:G167),"")</f>
        <v/>
      </c>
    </row>
    <row r="168" spans="1:8" x14ac:dyDescent="0.35">
      <c r="A168" s="56" t="s">
        <v>23</v>
      </c>
      <c r="B168" s="56" t="s">
        <v>679</v>
      </c>
      <c r="C168" s="56" t="s">
        <v>680</v>
      </c>
      <c r="D168" s="39">
        <v>4109</v>
      </c>
      <c r="E168" s="56" t="s">
        <v>681</v>
      </c>
      <c r="F168" s="55" t="s">
        <v>682</v>
      </c>
      <c r="G168" s="5">
        <f>IF(Estimation!$B$18="",0,IF(ISNUMBER(SEARCH(LOWER(Estimation!$B$18),F168)),1,0))</f>
        <v>0</v>
      </c>
      <c r="H168" s="5" t="str">
        <f>IF(G168=1,SUM($G$4:G168),"")</f>
        <v/>
      </c>
    </row>
    <row r="169" spans="1:8" x14ac:dyDescent="0.35">
      <c r="A169" s="56" t="s">
        <v>23</v>
      </c>
      <c r="B169" s="56" t="s">
        <v>683</v>
      </c>
      <c r="C169" s="56" t="s">
        <v>684</v>
      </c>
      <c r="D169" s="39">
        <v>5152</v>
      </c>
      <c r="E169" s="56" t="s">
        <v>685</v>
      </c>
      <c r="F169" s="55" t="s">
        <v>686</v>
      </c>
      <c r="G169" s="5">
        <f>IF(Estimation!$B$18="",0,IF(ISNUMBER(SEARCH(LOWER(Estimation!$B$18),F169)),1,0))</f>
        <v>0</v>
      </c>
      <c r="H169" s="5" t="str">
        <f>IF(G169=1,SUM($G$4:G169),"")</f>
        <v/>
      </c>
    </row>
    <row r="170" spans="1:8" x14ac:dyDescent="0.35">
      <c r="A170" s="56" t="s">
        <v>23</v>
      </c>
      <c r="B170" s="56" t="s">
        <v>687</v>
      </c>
      <c r="C170" s="56" t="s">
        <v>688</v>
      </c>
      <c r="D170" s="39">
        <v>7888.5</v>
      </c>
      <c r="E170" s="56" t="s">
        <v>689</v>
      </c>
      <c r="F170" s="55" t="s">
        <v>690</v>
      </c>
      <c r="G170" s="5">
        <f>IF(Estimation!$B$18="",0,IF(ISNUMBER(SEARCH(LOWER(Estimation!$B$18),F170)),1,0))</f>
        <v>0</v>
      </c>
      <c r="H170" s="5" t="str">
        <f>IF(G170=1,SUM($G$4:G170),"")</f>
        <v/>
      </c>
    </row>
    <row r="171" spans="1:8" x14ac:dyDescent="0.35">
      <c r="A171" s="56" t="s">
        <v>23</v>
      </c>
      <c r="B171" s="56" t="s">
        <v>691</v>
      </c>
      <c r="C171" s="56" t="s">
        <v>692</v>
      </c>
      <c r="D171" s="39">
        <v>9647.5</v>
      </c>
      <c r="E171" s="56" t="s">
        <v>693</v>
      </c>
      <c r="F171" s="55" t="s">
        <v>694</v>
      </c>
      <c r="G171" s="5">
        <f>IF(Estimation!$B$18="",0,IF(ISNUMBER(SEARCH(LOWER(Estimation!$B$18),F171)),1,0))</f>
        <v>0</v>
      </c>
      <c r="H171" s="5" t="str">
        <f>IF(G171=1,SUM($G$4:G171),"")</f>
        <v/>
      </c>
    </row>
    <row r="172" spans="1:8" x14ac:dyDescent="0.35">
      <c r="A172" s="56" t="s">
        <v>23</v>
      </c>
      <c r="B172" s="56" t="s">
        <v>695</v>
      </c>
      <c r="C172" s="56" t="s">
        <v>696</v>
      </c>
      <c r="D172" s="39">
        <v>10896</v>
      </c>
      <c r="E172" s="56" t="s">
        <v>697</v>
      </c>
      <c r="F172" s="55" t="s">
        <v>698</v>
      </c>
      <c r="G172" s="5">
        <f>IF(Estimation!$B$18="",0,IF(ISNUMBER(SEARCH(LOWER(Estimation!$B$18),F172)),1,0))</f>
        <v>0</v>
      </c>
      <c r="H172" s="5" t="str">
        <f>IF(G172=1,SUM($G$4:G172),"")</f>
        <v/>
      </c>
    </row>
    <row r="173" spans="1:8" x14ac:dyDescent="0.35">
      <c r="A173" s="56" t="s">
        <v>23</v>
      </c>
      <c r="B173" s="56" t="s">
        <v>699</v>
      </c>
      <c r="C173" s="56" t="s">
        <v>700</v>
      </c>
      <c r="D173" s="39">
        <v>12975</v>
      </c>
      <c r="E173" s="56" t="s">
        <v>701</v>
      </c>
      <c r="F173" s="55" t="s">
        <v>702</v>
      </c>
      <c r="G173" s="5">
        <f>IF(Estimation!$B$18="",0,IF(ISNUMBER(SEARCH(LOWER(Estimation!$B$18),F173)),1,0))</f>
        <v>0</v>
      </c>
      <c r="H173" s="5" t="str">
        <f>IF(G173=1,SUM($G$4:G173),"")</f>
        <v/>
      </c>
    </row>
    <row r="174" spans="1:8" x14ac:dyDescent="0.35">
      <c r="A174" s="56" t="s">
        <v>23</v>
      </c>
      <c r="B174" s="56" t="s">
        <v>703</v>
      </c>
      <c r="C174" s="56" t="s">
        <v>704</v>
      </c>
      <c r="D174" s="39">
        <v>13355</v>
      </c>
      <c r="E174" s="56" t="s">
        <v>705</v>
      </c>
      <c r="F174" s="55" t="s">
        <v>706</v>
      </c>
      <c r="G174" s="5">
        <f>IF(Estimation!$B$18="",0,IF(ISNUMBER(SEARCH(LOWER(Estimation!$B$18),F174)),1,0))</f>
        <v>0</v>
      </c>
      <c r="H174" s="5" t="str">
        <f>IF(G174=1,SUM($G$4:G174),"")</f>
        <v/>
      </c>
    </row>
    <row r="175" spans="1:8" x14ac:dyDescent="0.35">
      <c r="A175" s="56" t="s">
        <v>23</v>
      </c>
      <c r="B175" s="56" t="s">
        <v>707</v>
      </c>
      <c r="C175" s="56" t="s">
        <v>708</v>
      </c>
      <c r="D175" s="39">
        <v>16558</v>
      </c>
      <c r="E175" s="56" t="s">
        <v>709</v>
      </c>
      <c r="F175" s="55" t="s">
        <v>710</v>
      </c>
      <c r="G175" s="5">
        <f>IF(Estimation!$B$18="",0,IF(ISNUMBER(SEARCH(LOWER(Estimation!$B$18),F175)),1,0))</f>
        <v>0</v>
      </c>
      <c r="H175" s="5" t="str">
        <f>IF(G175=1,SUM($G$4:G175),"")</f>
        <v/>
      </c>
    </row>
    <row r="176" spans="1:8" x14ac:dyDescent="0.35">
      <c r="A176" s="56" t="s">
        <v>23</v>
      </c>
      <c r="B176" s="56" t="s">
        <v>711</v>
      </c>
      <c r="C176" s="56" t="s">
        <v>712</v>
      </c>
      <c r="D176" s="39">
        <v>17908</v>
      </c>
      <c r="E176" s="56" t="s">
        <v>713</v>
      </c>
      <c r="F176" s="55" t="s">
        <v>714</v>
      </c>
      <c r="G176" s="5">
        <f>IF(Estimation!$B$18="",0,IF(ISNUMBER(SEARCH(LOWER(Estimation!$B$18),F176)),1,0))</f>
        <v>0</v>
      </c>
      <c r="H176" s="5" t="str">
        <f>IF(G176=1,SUM($G$4:G176),"")</f>
        <v/>
      </c>
    </row>
    <row r="177" spans="1:8" x14ac:dyDescent="0.35">
      <c r="A177" s="56" t="s">
        <v>23</v>
      </c>
      <c r="B177" s="56" t="s">
        <v>715</v>
      </c>
      <c r="C177" s="56" t="s">
        <v>716</v>
      </c>
      <c r="D177" s="39">
        <v>11376</v>
      </c>
      <c r="E177" s="56" t="s">
        <v>717</v>
      </c>
      <c r="F177" s="55" t="s">
        <v>718</v>
      </c>
      <c r="G177" s="5">
        <f>IF(Estimation!$B$18="",0,IF(ISNUMBER(SEARCH(LOWER(Estimation!$B$18),F177)),1,0))</f>
        <v>0</v>
      </c>
      <c r="H177" s="5" t="str">
        <f>IF(G177=1,SUM($G$4:G177),"")</f>
        <v/>
      </c>
    </row>
    <row r="178" spans="1:8" x14ac:dyDescent="0.35">
      <c r="A178" s="56" t="s">
        <v>23</v>
      </c>
      <c r="B178" s="56" t="s">
        <v>719</v>
      </c>
      <c r="C178" s="56" t="s">
        <v>720</v>
      </c>
      <c r="D178" s="39">
        <v>12376</v>
      </c>
      <c r="E178" s="56" t="s">
        <v>721</v>
      </c>
      <c r="F178" s="55" t="s">
        <v>722</v>
      </c>
      <c r="G178" s="5">
        <f>IF(Estimation!$B$18="",0,IF(ISNUMBER(SEARCH(LOWER(Estimation!$B$18),F178)),1,0))</f>
        <v>0</v>
      </c>
      <c r="H178" s="5" t="str">
        <f>IF(G178=1,SUM($G$4:G178),"")</f>
        <v/>
      </c>
    </row>
    <row r="179" spans="1:8" x14ac:dyDescent="0.35">
      <c r="A179" s="56" t="s">
        <v>23</v>
      </c>
      <c r="B179" s="56" t="s">
        <v>723</v>
      </c>
      <c r="C179" s="56" t="s">
        <v>724</v>
      </c>
      <c r="D179" s="39">
        <v>2141.75</v>
      </c>
      <c r="E179" s="56" t="s">
        <v>725</v>
      </c>
      <c r="F179" s="55" t="s">
        <v>726</v>
      </c>
      <c r="G179" s="5">
        <f>IF(Estimation!$B$18="",0,IF(ISNUMBER(SEARCH(LOWER(Estimation!$B$18),F179)),1,0))</f>
        <v>0</v>
      </c>
      <c r="H179" s="5" t="str">
        <f>IF(G179=1,SUM($G$4:G179),"")</f>
        <v/>
      </c>
    </row>
    <row r="180" spans="1:8" x14ac:dyDescent="0.35">
      <c r="A180" s="56" t="s">
        <v>23</v>
      </c>
      <c r="B180" s="56" t="s">
        <v>727</v>
      </c>
      <c r="C180" s="56" t="s">
        <v>728</v>
      </c>
      <c r="D180" s="39">
        <v>125</v>
      </c>
      <c r="E180" s="56" t="s">
        <v>729</v>
      </c>
      <c r="F180" s="55" t="s">
        <v>730</v>
      </c>
      <c r="G180" s="5">
        <f>IF(Estimation!$B$18="",0,IF(ISNUMBER(SEARCH(LOWER(Estimation!$B$18),F180)),1,0))</f>
        <v>0</v>
      </c>
      <c r="H180" s="5" t="str">
        <f>IF(G180=1,SUM($G$4:G180),"")</f>
        <v/>
      </c>
    </row>
    <row r="181" spans="1:8" x14ac:dyDescent="0.35">
      <c r="A181" s="56" t="s">
        <v>23</v>
      </c>
      <c r="B181" s="56" t="s">
        <v>731</v>
      </c>
      <c r="C181" s="56" t="s">
        <v>732</v>
      </c>
      <c r="D181" s="39">
        <v>276</v>
      </c>
      <c r="E181" s="56" t="s">
        <v>733</v>
      </c>
      <c r="F181" s="55" t="s">
        <v>734</v>
      </c>
      <c r="G181" s="5">
        <f>IF(Estimation!$B$18="",0,IF(ISNUMBER(SEARCH(LOWER(Estimation!$B$18),F181)),1,0))</f>
        <v>0</v>
      </c>
      <c r="H181" s="5" t="str">
        <f>IF(G181=1,SUM($G$4:G181),"")</f>
        <v/>
      </c>
    </row>
    <row r="182" spans="1:8" x14ac:dyDescent="0.35">
      <c r="A182" s="56" t="s">
        <v>23</v>
      </c>
      <c r="B182" s="56" t="s">
        <v>735</v>
      </c>
      <c r="C182" s="56" t="s">
        <v>736</v>
      </c>
      <c r="D182" s="39">
        <v>265</v>
      </c>
      <c r="E182" s="56" t="s">
        <v>737</v>
      </c>
      <c r="F182" s="55" t="s">
        <v>738</v>
      </c>
      <c r="G182" s="5">
        <f>IF(Estimation!$B$18="",0,IF(ISNUMBER(SEARCH(LOWER(Estimation!$B$18),F182)),1,0))</f>
        <v>0</v>
      </c>
      <c r="H182" s="5" t="str">
        <f>IF(G182=1,SUM($G$4:G182),"")</f>
        <v/>
      </c>
    </row>
    <row r="183" spans="1:8" x14ac:dyDescent="0.35">
      <c r="A183" s="56" t="s">
        <v>23</v>
      </c>
      <c r="B183" s="56" t="s">
        <v>739</v>
      </c>
      <c r="C183" s="56" t="s">
        <v>740</v>
      </c>
      <c r="D183" s="39">
        <v>920</v>
      </c>
      <c r="E183" s="56" t="s">
        <v>741</v>
      </c>
      <c r="F183" s="55" t="s">
        <v>742</v>
      </c>
      <c r="G183" s="5">
        <f>IF(Estimation!$B$18="",0,IF(ISNUMBER(SEARCH(LOWER(Estimation!$B$18),F183)),1,0))</f>
        <v>0</v>
      </c>
      <c r="H183" s="5" t="str">
        <f>IF(G183=1,SUM($G$4:G183),"")</f>
        <v/>
      </c>
    </row>
    <row r="184" spans="1:8" x14ac:dyDescent="0.35">
      <c r="A184" s="56" t="s">
        <v>23</v>
      </c>
      <c r="B184" s="56" t="s">
        <v>743</v>
      </c>
      <c r="C184" s="56" t="s">
        <v>744</v>
      </c>
      <c r="D184" s="39">
        <v>616</v>
      </c>
      <c r="E184" s="56" t="s">
        <v>745</v>
      </c>
      <c r="F184" s="55" t="s">
        <v>746</v>
      </c>
      <c r="G184" s="5">
        <f>IF(Estimation!$B$18="",0,IF(ISNUMBER(SEARCH(LOWER(Estimation!$B$18),F184)),1,0))</f>
        <v>0</v>
      </c>
      <c r="H184" s="5" t="str">
        <f>IF(G184=1,SUM($G$4:G184),"")</f>
        <v/>
      </c>
    </row>
    <row r="185" spans="1:8" x14ac:dyDescent="0.35">
      <c r="A185" s="56" t="s">
        <v>23</v>
      </c>
      <c r="B185" s="56" t="s">
        <v>747</v>
      </c>
      <c r="C185" s="56" t="s">
        <v>748</v>
      </c>
      <c r="D185" s="39">
        <v>2576</v>
      </c>
      <c r="E185" s="56" t="s">
        <v>749</v>
      </c>
      <c r="F185" s="55" t="s">
        <v>750</v>
      </c>
      <c r="G185" s="5">
        <f>IF(Estimation!$B$18="",0,IF(ISNUMBER(SEARCH(LOWER(Estimation!$B$18),F185)),1,0))</f>
        <v>0</v>
      </c>
      <c r="H185" s="5" t="str">
        <f>IF(G185=1,SUM($G$4:G185),"")</f>
        <v/>
      </c>
    </row>
    <row r="186" spans="1:8" x14ac:dyDescent="0.35">
      <c r="A186" s="56" t="s">
        <v>23</v>
      </c>
      <c r="B186" s="56" t="s">
        <v>751</v>
      </c>
      <c r="C186" s="56" t="s">
        <v>752</v>
      </c>
      <c r="D186" s="39">
        <v>3066</v>
      </c>
      <c r="E186" s="56" t="s">
        <v>753</v>
      </c>
      <c r="F186" s="55" t="s">
        <v>754</v>
      </c>
      <c r="G186" s="5">
        <f>IF(Estimation!$B$18="",0,IF(ISNUMBER(SEARCH(LOWER(Estimation!$B$18),F186)),1,0))</f>
        <v>0</v>
      </c>
      <c r="H186" s="5" t="str">
        <f>IF(G186=1,SUM($G$4:G186),"")</f>
        <v/>
      </c>
    </row>
    <row r="187" spans="1:8" x14ac:dyDescent="0.35">
      <c r="A187" s="56" t="s">
        <v>23</v>
      </c>
      <c r="B187" s="56" t="s">
        <v>755</v>
      </c>
      <c r="C187" s="56" t="s">
        <v>756</v>
      </c>
      <c r="D187" s="39">
        <v>3987</v>
      </c>
      <c r="E187" s="56" t="s">
        <v>757</v>
      </c>
      <c r="F187" s="55" t="s">
        <v>758</v>
      </c>
      <c r="G187" s="5">
        <f>IF(Estimation!$B$18="",0,IF(ISNUMBER(SEARCH(LOWER(Estimation!$B$18),F187)),1,0))</f>
        <v>0</v>
      </c>
      <c r="H187" s="5" t="str">
        <f>IF(G187=1,SUM($G$4:G187),"")</f>
        <v/>
      </c>
    </row>
    <row r="188" spans="1:8" x14ac:dyDescent="0.35">
      <c r="A188" s="56" t="s">
        <v>23</v>
      </c>
      <c r="B188" s="56" t="s">
        <v>759</v>
      </c>
      <c r="C188" s="56" t="s">
        <v>760</v>
      </c>
      <c r="D188" s="39">
        <v>3942</v>
      </c>
      <c r="E188" s="56" t="s">
        <v>761</v>
      </c>
      <c r="F188" s="55" t="s">
        <v>762</v>
      </c>
      <c r="G188" s="5">
        <f>IF(Estimation!$B$18="",0,IF(ISNUMBER(SEARCH(LOWER(Estimation!$B$18),F188)),1,0))</f>
        <v>0</v>
      </c>
      <c r="H188" s="5" t="str">
        <f>IF(G188=1,SUM($G$4:G188),"")</f>
        <v/>
      </c>
    </row>
    <row r="189" spans="1:8" x14ac:dyDescent="0.35">
      <c r="A189" s="56" t="s">
        <v>23</v>
      </c>
      <c r="B189" s="56" t="s">
        <v>763</v>
      </c>
      <c r="C189" s="56" t="s">
        <v>764</v>
      </c>
      <c r="D189" s="39">
        <v>6166</v>
      </c>
      <c r="E189" s="56" t="s">
        <v>765</v>
      </c>
      <c r="F189" s="55" t="s">
        <v>766</v>
      </c>
      <c r="G189" s="5">
        <f>IF(Estimation!$B$18="",0,IF(ISNUMBER(SEARCH(LOWER(Estimation!$B$18),F189)),1,0))</f>
        <v>0</v>
      </c>
      <c r="H189" s="5" t="str">
        <f>IF(G189=1,SUM($G$4:G189),"")</f>
        <v/>
      </c>
    </row>
    <row r="190" spans="1:8" x14ac:dyDescent="0.35">
      <c r="A190" s="56" t="s">
        <v>23</v>
      </c>
      <c r="B190" s="56" t="s">
        <v>767</v>
      </c>
      <c r="C190" s="56" t="s">
        <v>768</v>
      </c>
      <c r="D190" s="39">
        <v>13</v>
      </c>
      <c r="E190" s="56" t="s">
        <v>769</v>
      </c>
      <c r="F190" s="55" t="s">
        <v>770</v>
      </c>
      <c r="G190" s="5">
        <f>IF(Estimation!$B$18="",0,IF(ISNUMBER(SEARCH(LOWER(Estimation!$B$18),F190)),1,0))</f>
        <v>0</v>
      </c>
      <c r="H190" s="5" t="str">
        <f>IF(G190=1,SUM($G$4:G190),"")</f>
        <v/>
      </c>
    </row>
    <row r="191" spans="1:8" x14ac:dyDescent="0.35">
      <c r="A191" s="56" t="s">
        <v>23</v>
      </c>
      <c r="B191" s="56" t="s">
        <v>771</v>
      </c>
      <c r="C191" s="56" t="s">
        <v>772</v>
      </c>
      <c r="D191" s="39">
        <v>82</v>
      </c>
      <c r="E191" s="56" t="s">
        <v>773</v>
      </c>
      <c r="F191" s="55" t="s">
        <v>774</v>
      </c>
      <c r="G191" s="5">
        <f>IF(Estimation!$B$18="",0,IF(ISNUMBER(SEARCH(LOWER(Estimation!$B$18),F191)),1,0))</f>
        <v>0</v>
      </c>
      <c r="H191" s="5" t="str">
        <f>IF(G191=1,SUM($G$4:G191),"")</f>
        <v/>
      </c>
    </row>
    <row r="192" spans="1:8" x14ac:dyDescent="0.35">
      <c r="A192" s="56" t="s">
        <v>23</v>
      </c>
      <c r="B192" s="56" t="s">
        <v>775</v>
      </c>
      <c r="C192" s="56" t="s">
        <v>776</v>
      </c>
      <c r="D192" s="39">
        <v>41</v>
      </c>
      <c r="E192" s="56" t="s">
        <v>777</v>
      </c>
      <c r="F192" s="55" t="s">
        <v>778</v>
      </c>
      <c r="G192" s="5">
        <f>IF(Estimation!$B$18="",0,IF(ISNUMBER(SEARCH(LOWER(Estimation!$B$18),F192)),1,0))</f>
        <v>0</v>
      </c>
      <c r="H192" s="5" t="str">
        <f>IF(G192=1,SUM($G$4:G192),"")</f>
        <v/>
      </c>
    </row>
    <row r="193" spans="1:8" x14ac:dyDescent="0.35">
      <c r="A193" s="56" t="s">
        <v>23</v>
      </c>
      <c r="B193" s="56" t="s">
        <v>779</v>
      </c>
      <c r="C193" s="56" t="s">
        <v>780</v>
      </c>
      <c r="D193" s="39">
        <v>1337</v>
      </c>
      <c r="E193" s="56" t="s">
        <v>781</v>
      </c>
      <c r="F193" s="55" t="s">
        <v>782</v>
      </c>
      <c r="G193" s="5">
        <f>IF(Estimation!$B$18="",0,IF(ISNUMBER(SEARCH(LOWER(Estimation!$B$18),F193)),1,0))</f>
        <v>0</v>
      </c>
      <c r="H193" s="5" t="str">
        <f>IF(G193=1,SUM($G$4:G193),"")</f>
        <v/>
      </c>
    </row>
    <row r="194" spans="1:8" x14ac:dyDescent="0.35">
      <c r="A194" s="56" t="s">
        <v>23</v>
      </c>
      <c r="B194" s="56" t="s">
        <v>783</v>
      </c>
      <c r="C194" s="56" t="s">
        <v>784</v>
      </c>
      <c r="D194" s="39">
        <v>1374</v>
      </c>
      <c r="E194" s="56" t="s">
        <v>785</v>
      </c>
      <c r="F194" s="55" t="s">
        <v>786</v>
      </c>
      <c r="G194" s="5">
        <f>IF(Estimation!$B$18="",0,IF(ISNUMBER(SEARCH(LOWER(Estimation!$B$18),F194)),1,0))</f>
        <v>0</v>
      </c>
      <c r="H194" s="5" t="str">
        <f>IF(G194=1,SUM($G$4:G194),"")</f>
        <v/>
      </c>
    </row>
    <row r="195" spans="1:8" x14ac:dyDescent="0.35">
      <c r="A195" s="56" t="s">
        <v>23</v>
      </c>
      <c r="B195" s="56" t="s">
        <v>787</v>
      </c>
      <c r="C195" s="56" t="s">
        <v>788</v>
      </c>
      <c r="D195" s="39">
        <v>638</v>
      </c>
      <c r="E195" s="56" t="s">
        <v>789</v>
      </c>
      <c r="F195" s="55" t="s">
        <v>790</v>
      </c>
      <c r="G195" s="5">
        <f>IF(Estimation!$B$18="",0,IF(ISNUMBER(SEARCH(LOWER(Estimation!$B$18),F195)),1,0))</f>
        <v>0</v>
      </c>
      <c r="H195" s="5" t="str">
        <f>IF(G195=1,SUM($G$4:G195),"")</f>
        <v/>
      </c>
    </row>
    <row r="196" spans="1:8" x14ac:dyDescent="0.35">
      <c r="A196" s="56" t="s">
        <v>23</v>
      </c>
      <c r="B196" s="56" t="s">
        <v>791</v>
      </c>
      <c r="C196" s="56" t="s">
        <v>792</v>
      </c>
      <c r="D196" s="39">
        <v>981</v>
      </c>
      <c r="E196" s="56" t="s">
        <v>793</v>
      </c>
      <c r="F196" s="55" t="s">
        <v>794</v>
      </c>
      <c r="G196" s="5">
        <f>IF(Estimation!$B$18="",0,IF(ISNUMBER(SEARCH(LOWER(Estimation!$B$18),F196)),1,0))</f>
        <v>0</v>
      </c>
      <c r="H196" s="5" t="str">
        <f>IF(G196=1,SUM($G$4:G196),"")</f>
        <v/>
      </c>
    </row>
    <row r="197" spans="1:8" x14ac:dyDescent="0.35">
      <c r="A197" s="56" t="s">
        <v>23</v>
      </c>
      <c r="B197" s="56" t="s">
        <v>795</v>
      </c>
      <c r="C197" s="56" t="s">
        <v>796</v>
      </c>
      <c r="D197" s="39">
        <v>478</v>
      </c>
      <c r="E197" s="56" t="s">
        <v>797</v>
      </c>
      <c r="F197" s="55" t="s">
        <v>798</v>
      </c>
      <c r="G197" s="5">
        <f>IF(Estimation!$B$18="",0,IF(ISNUMBER(SEARCH(LOWER(Estimation!$B$18),F197)),1,0))</f>
        <v>0</v>
      </c>
      <c r="H197" s="5" t="str">
        <f>IF(G197=1,SUM($G$4:G197),"")</f>
        <v/>
      </c>
    </row>
    <row r="198" spans="1:8" x14ac:dyDescent="0.35">
      <c r="A198" s="56" t="s">
        <v>23</v>
      </c>
      <c r="B198" s="56" t="s">
        <v>799</v>
      </c>
      <c r="C198" s="56" t="s">
        <v>800</v>
      </c>
      <c r="D198" s="39">
        <v>515</v>
      </c>
      <c r="E198" s="56" t="s">
        <v>801</v>
      </c>
      <c r="F198" s="55" t="s">
        <v>802</v>
      </c>
      <c r="G198" s="5">
        <f>IF(Estimation!$B$18="",0,IF(ISNUMBER(SEARCH(LOWER(Estimation!$B$18),F198)),1,0))</f>
        <v>0</v>
      </c>
      <c r="H198" s="5" t="str">
        <f>IF(G198=1,SUM($G$4:G198),"")</f>
        <v/>
      </c>
    </row>
    <row r="199" spans="1:8" x14ac:dyDescent="0.35">
      <c r="A199" s="56" t="s">
        <v>23</v>
      </c>
      <c r="B199" s="56" t="s">
        <v>803</v>
      </c>
      <c r="C199" s="56" t="s">
        <v>804</v>
      </c>
      <c r="D199" s="39">
        <v>620</v>
      </c>
      <c r="E199" s="56" t="s">
        <v>805</v>
      </c>
      <c r="F199" s="55" t="s">
        <v>806</v>
      </c>
      <c r="G199" s="5">
        <f>IF(Estimation!$B$18="",0,IF(ISNUMBER(SEARCH(LOWER(Estimation!$B$18),F199)),1,0))</f>
        <v>0</v>
      </c>
      <c r="H199" s="5" t="str">
        <f>IF(G199=1,SUM($G$4:G199),"")</f>
        <v/>
      </c>
    </row>
    <row r="200" spans="1:8" x14ac:dyDescent="0.35">
      <c r="A200" s="56" t="s">
        <v>23</v>
      </c>
      <c r="B200" s="56" t="s">
        <v>807</v>
      </c>
      <c r="C200" s="56" t="s">
        <v>808</v>
      </c>
      <c r="D200" s="39">
        <v>455</v>
      </c>
      <c r="E200" s="56" t="s">
        <v>809</v>
      </c>
      <c r="F200" s="55" t="s">
        <v>810</v>
      </c>
      <c r="G200" s="5">
        <f>IF(Estimation!$B$18="",0,IF(ISNUMBER(SEARCH(LOWER(Estimation!$B$18),F200)),1,0))</f>
        <v>0</v>
      </c>
      <c r="H200" s="5" t="str">
        <f>IF(G200=1,SUM($G$4:G200),"")</f>
        <v/>
      </c>
    </row>
    <row r="201" spans="1:8" x14ac:dyDescent="0.35">
      <c r="A201" s="56" t="s">
        <v>23</v>
      </c>
      <c r="B201" s="56" t="s">
        <v>811</v>
      </c>
      <c r="C201" s="56" t="s">
        <v>812</v>
      </c>
      <c r="D201" s="39">
        <v>607</v>
      </c>
      <c r="E201" s="56" t="s">
        <v>813</v>
      </c>
      <c r="F201" s="55" t="s">
        <v>814</v>
      </c>
      <c r="G201" s="5">
        <f>IF(Estimation!$B$18="",0,IF(ISNUMBER(SEARCH(LOWER(Estimation!$B$18),F201)),1,0))</f>
        <v>0</v>
      </c>
      <c r="H201" s="5" t="str">
        <f>IF(G201=1,SUM($G$4:G201),"")</f>
        <v/>
      </c>
    </row>
    <row r="202" spans="1:8" x14ac:dyDescent="0.35">
      <c r="A202" s="56" t="s">
        <v>23</v>
      </c>
      <c r="B202" s="56" t="s">
        <v>815</v>
      </c>
      <c r="C202" s="56" t="s">
        <v>816</v>
      </c>
      <c r="D202" s="39">
        <v>416</v>
      </c>
      <c r="E202" s="56" t="s">
        <v>817</v>
      </c>
      <c r="F202" s="55" t="s">
        <v>818</v>
      </c>
      <c r="G202" s="5">
        <f>IF(Estimation!$B$18="",0,IF(ISNUMBER(SEARCH(LOWER(Estimation!$B$18),F202)),1,0))</f>
        <v>0</v>
      </c>
      <c r="H202" s="5" t="str">
        <f>IF(G202=1,SUM($G$4:G202),"")</f>
        <v/>
      </c>
    </row>
    <row r="203" spans="1:8" x14ac:dyDescent="0.35">
      <c r="A203" s="56" t="s">
        <v>23</v>
      </c>
      <c r="B203" s="56" t="s">
        <v>819</v>
      </c>
      <c r="C203" s="56" t="s">
        <v>820</v>
      </c>
      <c r="D203" s="39">
        <v>540</v>
      </c>
      <c r="E203" s="56" t="s">
        <v>821</v>
      </c>
      <c r="F203" s="55" t="s">
        <v>822</v>
      </c>
      <c r="G203" s="5">
        <f>IF(Estimation!$B$18="",0,IF(ISNUMBER(SEARCH(LOWER(Estimation!$B$18),F203)),1,0))</f>
        <v>0</v>
      </c>
      <c r="H203" s="5" t="str">
        <f>IF(G203=1,SUM($G$4:G203),"")</f>
        <v/>
      </c>
    </row>
    <row r="204" spans="1:8" x14ac:dyDescent="0.35">
      <c r="A204" s="56" t="s">
        <v>23</v>
      </c>
      <c r="B204" s="56" t="s">
        <v>823</v>
      </c>
      <c r="C204" s="56" t="s">
        <v>824</v>
      </c>
      <c r="D204" s="39">
        <v>385</v>
      </c>
      <c r="E204" s="56" t="s">
        <v>825</v>
      </c>
      <c r="F204" s="55" t="s">
        <v>826</v>
      </c>
      <c r="G204" s="5">
        <f>IF(Estimation!$B$18="",0,IF(ISNUMBER(SEARCH(LOWER(Estimation!$B$18),F204)),1,0))</f>
        <v>0</v>
      </c>
      <c r="H204" s="5" t="str">
        <f>IF(G204=1,SUM($G$4:G204),"")</f>
        <v/>
      </c>
    </row>
    <row r="205" spans="1:8" x14ac:dyDescent="0.35">
      <c r="A205" s="56" t="s">
        <v>23</v>
      </c>
      <c r="B205" s="56" t="s">
        <v>827</v>
      </c>
      <c r="C205" s="56" t="s">
        <v>828</v>
      </c>
      <c r="D205" s="39">
        <v>301.5</v>
      </c>
      <c r="E205" s="56" t="s">
        <v>829</v>
      </c>
      <c r="F205" s="55" t="s">
        <v>830</v>
      </c>
      <c r="G205" s="5">
        <f>IF(Estimation!$B$18="",0,IF(ISNUMBER(SEARCH(LOWER(Estimation!$B$18),F205)),1,0))</f>
        <v>0</v>
      </c>
      <c r="H205" s="5" t="str">
        <f>IF(G205=1,SUM($G$4:G205),"")</f>
        <v/>
      </c>
    </row>
    <row r="206" spans="1:8" x14ac:dyDescent="0.35">
      <c r="A206" s="56" t="s">
        <v>23</v>
      </c>
      <c r="B206" s="56" t="s">
        <v>831</v>
      </c>
      <c r="C206" s="56" t="s">
        <v>832</v>
      </c>
      <c r="D206" s="39">
        <v>680</v>
      </c>
      <c r="E206" s="56" t="s">
        <v>833</v>
      </c>
      <c r="F206" s="55" t="s">
        <v>834</v>
      </c>
      <c r="G206" s="5">
        <f>IF(Estimation!$B$18="",0,IF(ISNUMBER(SEARCH(LOWER(Estimation!$B$18),F206)),1,0))</f>
        <v>0</v>
      </c>
      <c r="H206" s="5" t="str">
        <f>IF(G206=1,SUM($G$4:G206),"")</f>
        <v/>
      </c>
    </row>
    <row r="207" spans="1:8" x14ac:dyDescent="0.35">
      <c r="A207" s="56" t="s">
        <v>23</v>
      </c>
      <c r="B207" s="56" t="s">
        <v>835</v>
      </c>
      <c r="C207" s="56" t="s">
        <v>836</v>
      </c>
      <c r="D207" s="39">
        <v>780</v>
      </c>
      <c r="E207" s="56" t="s">
        <v>837</v>
      </c>
      <c r="F207" s="55" t="s">
        <v>838</v>
      </c>
      <c r="G207" s="5">
        <f>IF(Estimation!$B$18="",0,IF(ISNUMBER(SEARCH(LOWER(Estimation!$B$18),F207)),1,0))</f>
        <v>0</v>
      </c>
      <c r="H207" s="5" t="str">
        <f>IF(G207=1,SUM($G$4:G207),"")</f>
        <v/>
      </c>
    </row>
    <row r="208" spans="1:8" x14ac:dyDescent="0.35">
      <c r="A208" s="56" t="s">
        <v>23</v>
      </c>
      <c r="B208" s="56" t="s">
        <v>839</v>
      </c>
      <c r="C208" s="56" t="s">
        <v>840</v>
      </c>
      <c r="D208" s="39">
        <v>603</v>
      </c>
      <c r="E208" s="56" t="s">
        <v>841</v>
      </c>
      <c r="F208" s="55" t="s">
        <v>842</v>
      </c>
      <c r="G208" s="5">
        <f>IF(Estimation!$B$18="",0,IF(ISNUMBER(SEARCH(LOWER(Estimation!$B$18),F208)),1,0))</f>
        <v>0</v>
      </c>
      <c r="H208" s="5" t="str">
        <f>IF(G208=1,SUM($G$4:G208),"")</f>
        <v/>
      </c>
    </row>
    <row r="209" spans="1:8" x14ac:dyDescent="0.35">
      <c r="A209" s="56" t="s">
        <v>23</v>
      </c>
      <c r="B209" s="56" t="s">
        <v>843</v>
      </c>
      <c r="C209" s="56" t="s">
        <v>844</v>
      </c>
      <c r="D209" s="39">
        <v>854</v>
      </c>
      <c r="E209" s="56" t="s">
        <v>845</v>
      </c>
      <c r="F209" s="55" t="s">
        <v>846</v>
      </c>
      <c r="G209" s="5">
        <f>IF(Estimation!$B$18="",0,IF(ISNUMBER(SEARCH(LOWER(Estimation!$B$18),F209)),1,0))</f>
        <v>0</v>
      </c>
      <c r="H209" s="5" t="str">
        <f>IF(G209=1,SUM($G$4:G209),"")</f>
        <v/>
      </c>
    </row>
    <row r="210" spans="1:8" x14ac:dyDescent="0.35">
      <c r="A210" s="56" t="s">
        <v>23</v>
      </c>
      <c r="B210" s="56" t="s">
        <v>847</v>
      </c>
      <c r="C210" s="56" t="s">
        <v>848</v>
      </c>
      <c r="D210" s="39">
        <v>1076</v>
      </c>
      <c r="E210" s="56" t="s">
        <v>849</v>
      </c>
      <c r="F210" s="55" t="s">
        <v>850</v>
      </c>
      <c r="G210" s="5">
        <f>IF(Estimation!$B$18="",0,IF(ISNUMBER(SEARCH(LOWER(Estimation!$B$18),F210)),1,0))</f>
        <v>0</v>
      </c>
      <c r="H210" s="5" t="str">
        <f>IF(G210=1,SUM($G$4:G210),"")</f>
        <v/>
      </c>
    </row>
    <row r="211" spans="1:8" x14ac:dyDescent="0.35">
      <c r="A211" s="56" t="s">
        <v>23</v>
      </c>
      <c r="B211" s="56" t="s">
        <v>851</v>
      </c>
      <c r="C211" s="56" t="s">
        <v>852</v>
      </c>
      <c r="D211" s="39">
        <v>294</v>
      </c>
      <c r="E211" s="56" t="s">
        <v>853</v>
      </c>
      <c r="F211" s="55" t="s">
        <v>854</v>
      </c>
      <c r="G211" s="5">
        <f>IF(Estimation!$B$18="",0,IF(ISNUMBER(SEARCH(LOWER(Estimation!$B$18),F211)),1,0))</f>
        <v>0</v>
      </c>
      <c r="H211" s="5" t="str">
        <f>IF(G211=1,SUM($G$4:G211),"")</f>
        <v/>
      </c>
    </row>
    <row r="212" spans="1:8" x14ac:dyDescent="0.35">
      <c r="A212" s="56" t="s">
        <v>23</v>
      </c>
      <c r="B212" s="56" t="s">
        <v>855</v>
      </c>
      <c r="C212" s="56" t="s">
        <v>856</v>
      </c>
      <c r="D212" s="39">
        <v>1463</v>
      </c>
      <c r="E212" s="56" t="s">
        <v>857</v>
      </c>
      <c r="F212" s="55" t="s">
        <v>858</v>
      </c>
      <c r="G212" s="5">
        <f>IF(Estimation!$B$18="",0,IF(ISNUMBER(SEARCH(LOWER(Estimation!$B$18),F212)),1,0))</f>
        <v>0</v>
      </c>
      <c r="H212" s="5" t="str">
        <f>IF(G212=1,SUM($G$4:G212),"")</f>
        <v/>
      </c>
    </row>
    <row r="213" spans="1:8" x14ac:dyDescent="0.35">
      <c r="A213" s="56" t="s">
        <v>23</v>
      </c>
      <c r="B213" s="56" t="s">
        <v>859</v>
      </c>
      <c r="C213" s="56" t="s">
        <v>860</v>
      </c>
      <c r="D213" s="39">
        <v>1650</v>
      </c>
      <c r="E213" s="56" t="s">
        <v>861</v>
      </c>
      <c r="F213" s="55" t="s">
        <v>862</v>
      </c>
      <c r="G213" s="5">
        <f>IF(Estimation!$B$18="",0,IF(ISNUMBER(SEARCH(LOWER(Estimation!$B$18),F213)),1,0))</f>
        <v>0</v>
      </c>
      <c r="H213" s="5" t="str">
        <f>IF(G213=1,SUM($G$4:G213),"")</f>
        <v/>
      </c>
    </row>
    <row r="214" spans="1:8" x14ac:dyDescent="0.35">
      <c r="A214" s="56" t="s">
        <v>23</v>
      </c>
      <c r="B214" s="56" t="s">
        <v>863</v>
      </c>
      <c r="C214" s="56" t="s">
        <v>864</v>
      </c>
      <c r="D214" s="39">
        <v>2260</v>
      </c>
      <c r="E214" s="56" t="s">
        <v>865</v>
      </c>
      <c r="F214" s="55" t="s">
        <v>866</v>
      </c>
      <c r="G214" s="5">
        <f>IF(Estimation!$B$18="",0,IF(ISNUMBER(SEARCH(LOWER(Estimation!$B$18),F214)),1,0))</f>
        <v>0</v>
      </c>
      <c r="H214" s="5" t="str">
        <f>IF(G214=1,SUM($G$4:G214),"")</f>
        <v/>
      </c>
    </row>
    <row r="215" spans="1:8" x14ac:dyDescent="0.35">
      <c r="A215" s="56" t="s">
        <v>23</v>
      </c>
      <c r="B215" s="56" t="s">
        <v>867</v>
      </c>
      <c r="C215" s="56" t="s">
        <v>868</v>
      </c>
      <c r="D215" s="39">
        <v>31</v>
      </c>
      <c r="E215" s="56" t="s">
        <v>869</v>
      </c>
      <c r="F215" s="55" t="s">
        <v>870</v>
      </c>
      <c r="G215" s="5">
        <f>IF(Estimation!$B$18="",0,IF(ISNUMBER(SEARCH(LOWER(Estimation!$B$18),F215)),1,0))</f>
        <v>0</v>
      </c>
      <c r="H215" s="5" t="str">
        <f>IF(G215=1,SUM($G$4:G215),"")</f>
        <v/>
      </c>
    </row>
    <row r="216" spans="1:8" x14ac:dyDescent="0.35">
      <c r="A216" s="56" t="s">
        <v>23</v>
      </c>
      <c r="B216" s="56" t="s">
        <v>871</v>
      </c>
      <c r="C216" s="56" t="s">
        <v>872</v>
      </c>
      <c r="D216" s="39">
        <v>68</v>
      </c>
      <c r="E216" s="56" t="s">
        <v>873</v>
      </c>
      <c r="F216" s="55" t="s">
        <v>874</v>
      </c>
      <c r="G216" s="5">
        <f>IF(Estimation!$B$18="",0,IF(ISNUMBER(SEARCH(LOWER(Estimation!$B$18),F216)),1,0))</f>
        <v>0</v>
      </c>
      <c r="H216" s="5" t="str">
        <f>IF(G216=1,SUM($G$4:G216),"")</f>
        <v/>
      </c>
    </row>
    <row r="217" spans="1:8" x14ac:dyDescent="0.35">
      <c r="A217" s="56" t="s">
        <v>23</v>
      </c>
      <c r="B217" s="56" t="s">
        <v>875</v>
      </c>
      <c r="C217" s="56" t="s">
        <v>876</v>
      </c>
      <c r="D217" s="39">
        <v>82</v>
      </c>
      <c r="E217" s="56" t="s">
        <v>877</v>
      </c>
      <c r="F217" s="55" t="s">
        <v>878</v>
      </c>
      <c r="G217" s="5">
        <f>IF(Estimation!$B$18="",0,IF(ISNUMBER(SEARCH(LOWER(Estimation!$B$18),F217)),1,0))</f>
        <v>0</v>
      </c>
      <c r="H217" s="5" t="str">
        <f>IF(G217=1,SUM($G$4:G217),"")</f>
        <v/>
      </c>
    </row>
    <row r="218" spans="1:8" x14ac:dyDescent="0.35">
      <c r="A218" s="56" t="s">
        <v>23</v>
      </c>
      <c r="B218" s="56" t="s">
        <v>879</v>
      </c>
      <c r="C218" s="56" t="s">
        <v>880</v>
      </c>
      <c r="D218" s="39">
        <v>92</v>
      </c>
      <c r="E218" s="56" t="s">
        <v>881</v>
      </c>
      <c r="F218" s="55" t="s">
        <v>882</v>
      </c>
      <c r="G218" s="5">
        <f>IF(Estimation!$B$18="",0,IF(ISNUMBER(SEARCH(LOWER(Estimation!$B$18),F218)),1,0))</f>
        <v>0</v>
      </c>
      <c r="H218" s="5" t="str">
        <f>IF(G218=1,SUM($G$4:G218),"")</f>
        <v/>
      </c>
    </row>
    <row r="219" spans="1:8" x14ac:dyDescent="0.35">
      <c r="A219" s="56" t="s">
        <v>23</v>
      </c>
      <c r="B219" s="56" t="s">
        <v>883</v>
      </c>
      <c r="C219" s="56" t="s">
        <v>884</v>
      </c>
      <c r="D219" s="39">
        <v>118</v>
      </c>
      <c r="E219" s="56" t="s">
        <v>885</v>
      </c>
      <c r="F219" s="55" t="s">
        <v>886</v>
      </c>
      <c r="G219" s="5">
        <f>IF(Estimation!$B$18="",0,IF(ISNUMBER(SEARCH(LOWER(Estimation!$B$18),F219)),1,0))</f>
        <v>0</v>
      </c>
      <c r="H219" s="5" t="str">
        <f>IF(G219=1,SUM($G$4:G219),"")</f>
        <v/>
      </c>
    </row>
    <row r="220" spans="1:8" x14ac:dyDescent="0.35">
      <c r="A220" s="56" t="s">
        <v>23</v>
      </c>
      <c r="B220" s="56" t="s">
        <v>887</v>
      </c>
      <c r="C220" s="56" t="s">
        <v>888</v>
      </c>
      <c r="D220" s="39">
        <v>141</v>
      </c>
      <c r="E220" s="56" t="s">
        <v>889</v>
      </c>
      <c r="F220" s="55" t="s">
        <v>890</v>
      </c>
      <c r="G220" s="5">
        <f>IF(Estimation!$B$18="",0,IF(ISNUMBER(SEARCH(LOWER(Estimation!$B$18),F220)),1,0))</f>
        <v>0</v>
      </c>
      <c r="H220" s="5" t="str">
        <f>IF(G220=1,SUM($G$4:G220),"")</f>
        <v/>
      </c>
    </row>
    <row r="221" spans="1:8" x14ac:dyDescent="0.35">
      <c r="A221" s="56" t="s">
        <v>23</v>
      </c>
      <c r="B221" s="56" t="s">
        <v>891</v>
      </c>
      <c r="C221" s="56" t="s">
        <v>892</v>
      </c>
      <c r="D221" s="39">
        <v>180</v>
      </c>
      <c r="E221" s="56" t="s">
        <v>893</v>
      </c>
      <c r="F221" s="55" t="s">
        <v>894</v>
      </c>
      <c r="G221" s="5">
        <f>IF(Estimation!$B$18="",0,IF(ISNUMBER(SEARCH(LOWER(Estimation!$B$18),F221)),1,0))</f>
        <v>0</v>
      </c>
      <c r="H221" s="5" t="str">
        <f>IF(G221=1,SUM($G$4:G221),"")</f>
        <v/>
      </c>
    </row>
    <row r="222" spans="1:8" x14ac:dyDescent="0.35">
      <c r="A222" s="56" t="s">
        <v>23</v>
      </c>
      <c r="B222" s="56" t="s">
        <v>895</v>
      </c>
      <c r="C222" s="56" t="s">
        <v>896</v>
      </c>
      <c r="D222" s="39">
        <v>234</v>
      </c>
      <c r="E222" s="56" t="s">
        <v>897</v>
      </c>
      <c r="F222" s="55" t="s">
        <v>898</v>
      </c>
      <c r="G222" s="5">
        <f>IF(Estimation!$B$18="",0,IF(ISNUMBER(SEARCH(LOWER(Estimation!$B$18),F222)),1,0))</f>
        <v>0</v>
      </c>
      <c r="H222" s="5" t="str">
        <f>IF(G222=1,SUM($G$4:G222),"")</f>
        <v/>
      </c>
    </row>
    <row r="223" spans="1:8" x14ac:dyDescent="0.35">
      <c r="A223" s="56" t="s">
        <v>23</v>
      </c>
      <c r="B223" s="56" t="s">
        <v>899</v>
      </c>
      <c r="C223" s="56" t="s">
        <v>900</v>
      </c>
      <c r="D223" s="39">
        <v>317</v>
      </c>
      <c r="E223" s="56" t="s">
        <v>901</v>
      </c>
      <c r="F223" s="55" t="s">
        <v>902</v>
      </c>
      <c r="G223" s="5">
        <f>IF(Estimation!$B$18="",0,IF(ISNUMBER(SEARCH(LOWER(Estimation!$B$18),F223)),1,0))</f>
        <v>0</v>
      </c>
      <c r="H223" s="5" t="str">
        <f>IF(G223=1,SUM($G$4:G223),"")</f>
        <v/>
      </c>
    </row>
    <row r="224" spans="1:8" x14ac:dyDescent="0.35">
      <c r="A224" s="56" t="s">
        <v>23</v>
      </c>
      <c r="B224" s="56" t="s">
        <v>903</v>
      </c>
      <c r="C224" s="56" t="s">
        <v>904</v>
      </c>
      <c r="D224" s="39">
        <v>423</v>
      </c>
      <c r="E224" s="56" t="s">
        <v>905</v>
      </c>
      <c r="F224" s="55" t="s">
        <v>906</v>
      </c>
      <c r="G224" s="5">
        <f>IF(Estimation!$B$18="",0,IF(ISNUMBER(SEARCH(LOWER(Estimation!$B$18),F224)),1,0))</f>
        <v>0</v>
      </c>
      <c r="H224" s="5" t="str">
        <f>IF(G224=1,SUM($G$4:G224),"")</f>
        <v/>
      </c>
    </row>
    <row r="225" spans="1:8" x14ac:dyDescent="0.35">
      <c r="A225" s="56" t="s">
        <v>23</v>
      </c>
      <c r="B225" s="56" t="s">
        <v>907</v>
      </c>
      <c r="C225" s="56" t="s">
        <v>908</v>
      </c>
      <c r="D225" s="39">
        <v>435</v>
      </c>
      <c r="E225" s="56" t="s">
        <v>909</v>
      </c>
      <c r="F225" s="55" t="s">
        <v>910</v>
      </c>
      <c r="G225" s="5">
        <f>IF(Estimation!$B$18="",0,IF(ISNUMBER(SEARCH(LOWER(Estimation!$B$18),F225)),1,0))</f>
        <v>0</v>
      </c>
      <c r="H225" s="5" t="str">
        <f>IF(G225=1,SUM($G$4:G225),"")</f>
        <v/>
      </c>
    </row>
    <row r="226" spans="1:8" x14ac:dyDescent="0.35">
      <c r="A226" s="56" t="s">
        <v>23</v>
      </c>
      <c r="B226" s="56" t="s">
        <v>911</v>
      </c>
      <c r="C226" s="56" t="s">
        <v>912</v>
      </c>
      <c r="D226" s="39">
        <v>435</v>
      </c>
      <c r="E226" s="56" t="s">
        <v>913</v>
      </c>
      <c r="F226" s="55" t="s">
        <v>914</v>
      </c>
      <c r="G226" s="5">
        <f>IF(Estimation!$B$18="",0,IF(ISNUMBER(SEARCH(LOWER(Estimation!$B$18),F226)),1,0))</f>
        <v>0</v>
      </c>
      <c r="H226" s="5" t="str">
        <f>IF(G226=1,SUM($G$4:G226),"")</f>
        <v/>
      </c>
    </row>
    <row r="227" spans="1:8" x14ac:dyDescent="0.35">
      <c r="A227" s="56" t="s">
        <v>23</v>
      </c>
      <c r="B227" s="56" t="s">
        <v>915</v>
      </c>
      <c r="C227" s="56" t="s">
        <v>916</v>
      </c>
      <c r="D227" s="39">
        <v>1250</v>
      </c>
      <c r="E227" s="56" t="s">
        <v>917</v>
      </c>
      <c r="F227" s="55" t="s">
        <v>918</v>
      </c>
      <c r="G227" s="5">
        <f>IF(Estimation!$B$18="",0,IF(ISNUMBER(SEARCH(LOWER(Estimation!$B$18),F227)),1,0))</f>
        <v>0</v>
      </c>
      <c r="H227" s="5" t="str">
        <f>IF(G227=1,SUM($G$4:G227),"")</f>
        <v/>
      </c>
    </row>
    <row r="228" spans="1:8" x14ac:dyDescent="0.35">
      <c r="A228" s="56" t="s">
        <v>23</v>
      </c>
      <c r="B228" s="56" t="s">
        <v>919</v>
      </c>
      <c r="C228" s="56" t="s">
        <v>920</v>
      </c>
      <c r="D228" s="39">
        <v>1150</v>
      </c>
      <c r="E228" s="56" t="s">
        <v>921</v>
      </c>
      <c r="F228" s="55" t="s">
        <v>922</v>
      </c>
      <c r="G228" s="5">
        <f>IF(Estimation!$B$18="",0,IF(ISNUMBER(SEARCH(LOWER(Estimation!$B$18),F228)),1,0))</f>
        <v>0</v>
      </c>
      <c r="H228" s="5" t="str">
        <f>IF(G228=1,SUM($G$4:G228),"")</f>
        <v/>
      </c>
    </row>
    <row r="229" spans="1:8" x14ac:dyDescent="0.35">
      <c r="A229" s="56" t="s">
        <v>23</v>
      </c>
      <c r="B229" s="56" t="s">
        <v>923</v>
      </c>
      <c r="C229" s="56" t="s">
        <v>924</v>
      </c>
      <c r="D229" s="39">
        <v>748</v>
      </c>
      <c r="E229" s="56" t="s">
        <v>925</v>
      </c>
      <c r="F229" s="55" t="s">
        <v>926</v>
      </c>
      <c r="G229" s="5">
        <f>IF(Estimation!$B$18="",0,IF(ISNUMBER(SEARCH(LOWER(Estimation!$B$18),F229)),1,0))</f>
        <v>0</v>
      </c>
      <c r="H229" s="5" t="str">
        <f>IF(G229=1,SUM($G$4:G229),"")</f>
        <v/>
      </c>
    </row>
    <row r="230" spans="1:8" x14ac:dyDescent="0.35">
      <c r="A230" s="56" t="s">
        <v>23</v>
      </c>
      <c r="B230" s="56" t="s">
        <v>927</v>
      </c>
      <c r="C230" s="56" t="s">
        <v>928</v>
      </c>
      <c r="D230" s="39">
        <v>1898</v>
      </c>
      <c r="E230" s="56" t="s">
        <v>929</v>
      </c>
      <c r="F230" s="55" t="s">
        <v>930</v>
      </c>
      <c r="G230" s="5">
        <f>IF(Estimation!$B$18="",0,IF(ISNUMBER(SEARCH(LOWER(Estimation!$B$18),F230)),1,0))</f>
        <v>0</v>
      </c>
      <c r="H230" s="5" t="str">
        <f>IF(G230=1,SUM($G$4:G230),"")</f>
        <v/>
      </c>
    </row>
    <row r="231" spans="1:8" x14ac:dyDescent="0.35">
      <c r="A231" s="56" t="s">
        <v>23</v>
      </c>
      <c r="B231" s="56" t="s">
        <v>931</v>
      </c>
      <c r="C231" s="56" t="s">
        <v>932</v>
      </c>
      <c r="D231" s="39">
        <v>748</v>
      </c>
      <c r="E231" s="56" t="s">
        <v>933</v>
      </c>
      <c r="F231" s="55" t="s">
        <v>934</v>
      </c>
      <c r="G231" s="5">
        <f>IF(Estimation!$B$18="",0,IF(ISNUMBER(SEARCH(LOWER(Estimation!$B$18),F231)),1,0))</f>
        <v>0</v>
      </c>
      <c r="H231" s="5" t="str">
        <f>IF(G231=1,SUM($G$4:G231),"")</f>
        <v/>
      </c>
    </row>
    <row r="232" spans="1:8" x14ac:dyDescent="0.35">
      <c r="A232" s="56" t="s">
        <v>23</v>
      </c>
      <c r="B232" s="56" t="s">
        <v>935</v>
      </c>
      <c r="C232" s="56" t="s">
        <v>936</v>
      </c>
      <c r="D232" s="39">
        <v>115.5</v>
      </c>
      <c r="E232" s="56" t="s">
        <v>937</v>
      </c>
      <c r="F232" s="55" t="s">
        <v>938</v>
      </c>
      <c r="G232" s="5">
        <f>IF(Estimation!$B$18="",0,IF(ISNUMBER(SEARCH(LOWER(Estimation!$B$18),F232)),1,0))</f>
        <v>0</v>
      </c>
      <c r="H232" s="5" t="str">
        <f>IF(G232=1,SUM($G$4:G232),"")</f>
        <v/>
      </c>
    </row>
    <row r="233" spans="1:8" x14ac:dyDescent="0.35">
      <c r="A233" s="56" t="s">
        <v>23</v>
      </c>
      <c r="B233" s="56" t="s">
        <v>939</v>
      </c>
      <c r="C233" s="56" t="s">
        <v>940</v>
      </c>
      <c r="D233" s="39">
        <v>39.9</v>
      </c>
      <c r="E233" s="56" t="s">
        <v>941</v>
      </c>
      <c r="F233" s="55" t="s">
        <v>942</v>
      </c>
      <c r="G233" s="5">
        <f>IF(Estimation!$B$18="",0,IF(ISNUMBER(SEARCH(LOWER(Estimation!$B$18),F233)),1,0))</f>
        <v>0</v>
      </c>
      <c r="H233" s="5" t="str">
        <f>IF(G233=1,SUM($G$4:G233),"")</f>
        <v/>
      </c>
    </row>
    <row r="234" spans="1:8" x14ac:dyDescent="0.35">
      <c r="A234" s="56" t="s">
        <v>23</v>
      </c>
      <c r="B234" s="56" t="s">
        <v>943</v>
      </c>
      <c r="C234" s="56" t="s">
        <v>944</v>
      </c>
      <c r="D234" s="39">
        <v>70</v>
      </c>
      <c r="E234" s="56" t="s">
        <v>945</v>
      </c>
      <c r="F234" s="55" t="s">
        <v>946</v>
      </c>
      <c r="G234" s="5">
        <f>IF(Estimation!$B$18="",0,IF(ISNUMBER(SEARCH(LOWER(Estimation!$B$18),F234)),1,0))</f>
        <v>0</v>
      </c>
      <c r="H234" s="5" t="str">
        <f>IF(G234=1,SUM($G$4:G234),"")</f>
        <v/>
      </c>
    </row>
    <row r="235" spans="1:8" x14ac:dyDescent="0.35">
      <c r="A235" s="56" t="s">
        <v>23</v>
      </c>
      <c r="B235" s="56" t="s">
        <v>947</v>
      </c>
      <c r="C235" s="56" t="s">
        <v>948</v>
      </c>
      <c r="D235" s="39">
        <v>56</v>
      </c>
      <c r="E235" s="56" t="s">
        <v>949</v>
      </c>
      <c r="F235" s="55" t="s">
        <v>950</v>
      </c>
      <c r="G235" s="5">
        <f>IF(Estimation!$B$18="",0,IF(ISNUMBER(SEARCH(LOWER(Estimation!$B$18),F235)),1,0))</f>
        <v>0</v>
      </c>
      <c r="H235" s="5" t="str">
        <f>IF(G235=1,SUM($G$4:G235),"")</f>
        <v/>
      </c>
    </row>
    <row r="236" spans="1:8" x14ac:dyDescent="0.35">
      <c r="A236" s="56" t="s">
        <v>23</v>
      </c>
      <c r="B236" s="56" t="s">
        <v>951</v>
      </c>
      <c r="C236" s="56" t="s">
        <v>952</v>
      </c>
      <c r="D236" s="39">
        <v>49</v>
      </c>
      <c r="E236" s="56" t="s">
        <v>953</v>
      </c>
      <c r="F236" s="55" t="s">
        <v>954</v>
      </c>
      <c r="G236" s="5">
        <f>IF(Estimation!$B$18="",0,IF(ISNUMBER(SEARCH(LOWER(Estimation!$B$18),F236)),1,0))</f>
        <v>0</v>
      </c>
      <c r="H236" s="5" t="str">
        <f>IF(G236=1,SUM($G$4:G236),"")</f>
        <v/>
      </c>
    </row>
    <row r="237" spans="1:8" x14ac:dyDescent="0.35">
      <c r="A237" s="56" t="s">
        <v>23</v>
      </c>
      <c r="B237" s="56" t="s">
        <v>955</v>
      </c>
      <c r="C237" s="56" t="s">
        <v>956</v>
      </c>
      <c r="D237" s="39">
        <v>288.5</v>
      </c>
      <c r="E237" s="56" t="s">
        <v>957</v>
      </c>
      <c r="F237" s="55" t="s">
        <v>958</v>
      </c>
      <c r="G237" s="5">
        <f>IF(Estimation!$B$18="",0,IF(ISNUMBER(SEARCH(LOWER(Estimation!$B$18),F237)),1,0))</f>
        <v>0</v>
      </c>
      <c r="H237" s="5" t="str">
        <f>IF(G237=1,SUM($G$4:G237),"")</f>
        <v/>
      </c>
    </row>
    <row r="238" spans="1:8" x14ac:dyDescent="0.35">
      <c r="A238" s="56" t="s">
        <v>23</v>
      </c>
      <c r="B238" s="56" t="s">
        <v>959</v>
      </c>
      <c r="C238" s="56" t="s">
        <v>960</v>
      </c>
      <c r="D238" s="39">
        <v>288.5</v>
      </c>
      <c r="E238" s="56" t="s">
        <v>961</v>
      </c>
      <c r="F238" s="55" t="s">
        <v>962</v>
      </c>
      <c r="G238" s="5">
        <f>IF(Estimation!$B$18="",0,IF(ISNUMBER(SEARCH(LOWER(Estimation!$B$18),F238)),1,0))</f>
        <v>0</v>
      </c>
      <c r="H238" s="5" t="str">
        <f>IF(G238=1,SUM($G$4:G238),"")</f>
        <v/>
      </c>
    </row>
    <row r="239" spans="1:8" x14ac:dyDescent="0.35">
      <c r="A239" s="56" t="s">
        <v>23</v>
      </c>
      <c r="B239" s="56" t="s">
        <v>963</v>
      </c>
      <c r="C239" s="56" t="s">
        <v>964</v>
      </c>
      <c r="D239" s="39">
        <v>288.5</v>
      </c>
      <c r="E239" s="56" t="s">
        <v>965</v>
      </c>
      <c r="F239" s="55" t="s">
        <v>966</v>
      </c>
      <c r="G239" s="5">
        <f>IF(Estimation!$B$18="",0,IF(ISNUMBER(SEARCH(LOWER(Estimation!$B$18),F239)),1,0))</f>
        <v>0</v>
      </c>
      <c r="H239" s="5" t="str">
        <f>IF(G239=1,SUM($G$4:G239),"")</f>
        <v/>
      </c>
    </row>
    <row r="240" spans="1:8" x14ac:dyDescent="0.35">
      <c r="A240" s="56" t="s">
        <v>23</v>
      </c>
      <c r="B240" s="56" t="s">
        <v>967</v>
      </c>
      <c r="C240" s="56" t="s">
        <v>968</v>
      </c>
      <c r="D240" s="39">
        <v>288.5</v>
      </c>
      <c r="E240" s="56" t="s">
        <v>969</v>
      </c>
      <c r="F240" s="55" t="s">
        <v>970</v>
      </c>
      <c r="G240" s="5">
        <f>IF(Estimation!$B$18="",0,IF(ISNUMBER(SEARCH(LOWER(Estimation!$B$18),F240)),1,0))</f>
        <v>0</v>
      </c>
      <c r="H240" s="5" t="str">
        <f>IF(G240=1,SUM($G$4:G240),"")</f>
        <v/>
      </c>
    </row>
    <row r="241" spans="1:8" x14ac:dyDescent="0.35">
      <c r="A241" s="56" t="s">
        <v>23</v>
      </c>
      <c r="B241" s="56" t="s">
        <v>971</v>
      </c>
      <c r="C241" s="56" t="s">
        <v>972</v>
      </c>
      <c r="D241" s="39">
        <v>288.5</v>
      </c>
      <c r="E241" s="56" t="s">
        <v>973</v>
      </c>
      <c r="F241" s="55" t="s">
        <v>974</v>
      </c>
      <c r="G241" s="5">
        <f>IF(Estimation!$B$18="",0,IF(ISNUMBER(SEARCH(LOWER(Estimation!$B$18),F241)),1,0))</f>
        <v>0</v>
      </c>
      <c r="H241" s="5" t="str">
        <f>IF(G241=1,SUM($G$4:G241),"")</f>
        <v/>
      </c>
    </row>
    <row r="242" spans="1:8" x14ac:dyDescent="0.35">
      <c r="A242" s="56" t="s">
        <v>975</v>
      </c>
      <c r="B242" s="56" t="s">
        <v>976</v>
      </c>
      <c r="C242" s="56" t="s">
        <v>977</v>
      </c>
      <c r="D242" s="39">
        <v>1540</v>
      </c>
      <c r="E242" s="56" t="s">
        <v>978</v>
      </c>
      <c r="F242" s="55" t="s">
        <v>979</v>
      </c>
      <c r="G242" s="5">
        <f>IF(Estimation!$B$18="",0,IF(ISNUMBER(SEARCH(LOWER(Estimation!$B$18),F242)),1,0))</f>
        <v>0</v>
      </c>
      <c r="H242" s="5" t="str">
        <f>IF(G242=1,SUM($G$4:G242),"")</f>
        <v/>
      </c>
    </row>
    <row r="243" spans="1:8" x14ac:dyDescent="0.35">
      <c r="A243" s="56" t="s">
        <v>975</v>
      </c>
      <c r="B243" s="56" t="s">
        <v>980</v>
      </c>
      <c r="C243" s="56" t="s">
        <v>981</v>
      </c>
      <c r="D243" s="39">
        <v>1840</v>
      </c>
      <c r="E243" s="56" t="s">
        <v>982</v>
      </c>
      <c r="F243" s="55" t="s">
        <v>983</v>
      </c>
      <c r="G243" s="5">
        <f>IF(Estimation!$B$18="",0,IF(ISNUMBER(SEARCH(LOWER(Estimation!$B$18),F243)),1,0))</f>
        <v>0</v>
      </c>
      <c r="H243" s="5" t="str">
        <f>IF(G243=1,SUM($G$4:G243),"")</f>
        <v/>
      </c>
    </row>
    <row r="244" spans="1:8" x14ac:dyDescent="0.35">
      <c r="A244" s="56" t="s">
        <v>975</v>
      </c>
      <c r="B244" s="56" t="s">
        <v>984</v>
      </c>
      <c r="C244" s="56" t="s">
        <v>985</v>
      </c>
      <c r="D244" s="39">
        <v>2470</v>
      </c>
      <c r="E244" s="56" t="s">
        <v>986</v>
      </c>
      <c r="F244" s="55" t="s">
        <v>987</v>
      </c>
      <c r="G244" s="5">
        <f>IF(Estimation!$B$18="",0,IF(ISNUMBER(SEARCH(LOWER(Estimation!$B$18),F244)),1,0))</f>
        <v>0</v>
      </c>
      <c r="H244" s="5" t="str">
        <f>IF(G244=1,SUM($G$4:G244),"")</f>
        <v/>
      </c>
    </row>
    <row r="245" spans="1:8" x14ac:dyDescent="0.35">
      <c r="A245" s="56" t="s">
        <v>975</v>
      </c>
      <c r="B245" s="56" t="s">
        <v>988</v>
      </c>
      <c r="C245" s="56" t="s">
        <v>989</v>
      </c>
      <c r="D245" s="39">
        <v>3095</v>
      </c>
      <c r="E245" s="56" t="s">
        <v>990</v>
      </c>
      <c r="F245" s="55" t="s">
        <v>991</v>
      </c>
      <c r="G245" s="5">
        <f>IF(Estimation!$B$18="",0,IF(ISNUMBER(SEARCH(LOWER(Estimation!$B$18),F245)),1,0))</f>
        <v>0</v>
      </c>
      <c r="H245" s="5" t="str">
        <f>IF(G245=1,SUM($G$4:G245),"")</f>
        <v/>
      </c>
    </row>
    <row r="246" spans="1:8" x14ac:dyDescent="0.35">
      <c r="A246" s="56" t="s">
        <v>975</v>
      </c>
      <c r="B246" s="56" t="s">
        <v>992</v>
      </c>
      <c r="C246" s="56" t="s">
        <v>993</v>
      </c>
      <c r="D246" s="39">
        <v>385</v>
      </c>
      <c r="E246" s="56" t="s">
        <v>994</v>
      </c>
      <c r="F246" s="55" t="s">
        <v>995</v>
      </c>
      <c r="G246" s="5">
        <f>IF(Estimation!$B$18="",0,IF(ISNUMBER(SEARCH(LOWER(Estimation!$B$18),F246)),1,0))</f>
        <v>0</v>
      </c>
      <c r="H246" s="5" t="str">
        <f>IF(G246=1,SUM($G$4:G246),"")</f>
        <v/>
      </c>
    </row>
    <row r="247" spans="1:8" x14ac:dyDescent="0.35">
      <c r="A247" s="56" t="s">
        <v>975</v>
      </c>
      <c r="B247" s="56" t="s">
        <v>996</v>
      </c>
      <c r="C247" s="56" t="s">
        <v>997</v>
      </c>
      <c r="D247" s="39">
        <v>633</v>
      </c>
      <c r="E247" s="56" t="s">
        <v>998</v>
      </c>
      <c r="F247" s="55" t="s">
        <v>999</v>
      </c>
      <c r="G247" s="5">
        <f>IF(Estimation!$B$18="",0,IF(ISNUMBER(SEARCH(LOWER(Estimation!$B$18),F247)),1,0))</f>
        <v>0</v>
      </c>
      <c r="H247" s="5" t="str">
        <f>IF(G247=1,SUM($G$4:G247),"")</f>
        <v/>
      </c>
    </row>
    <row r="248" spans="1:8" x14ac:dyDescent="0.35">
      <c r="A248" s="56" t="s">
        <v>975</v>
      </c>
      <c r="B248" s="56" t="s">
        <v>1000</v>
      </c>
      <c r="C248" s="56" t="s">
        <v>1001</v>
      </c>
      <c r="D248" s="39">
        <v>410.46</v>
      </c>
      <c r="E248" s="56" t="s">
        <v>1002</v>
      </c>
      <c r="F248" s="55" t="s">
        <v>1003</v>
      </c>
      <c r="G248" s="5">
        <f>IF(Estimation!$B$18="",0,IF(ISNUMBER(SEARCH(LOWER(Estimation!$B$18),F248)),1,0))</f>
        <v>0</v>
      </c>
      <c r="H248" s="5" t="str">
        <f>IF(G248=1,SUM($G$4:G248),"")</f>
        <v/>
      </c>
    </row>
    <row r="249" spans="1:8" x14ac:dyDescent="0.35">
      <c r="A249" s="56" t="s">
        <v>975</v>
      </c>
      <c r="B249" s="56" t="s">
        <v>1004</v>
      </c>
      <c r="C249" s="56" t="s">
        <v>1005</v>
      </c>
      <c r="D249" s="39">
        <v>845.25</v>
      </c>
      <c r="E249" s="56" t="s">
        <v>1006</v>
      </c>
      <c r="F249" s="55" t="s">
        <v>1007</v>
      </c>
      <c r="G249" s="5">
        <f>IF(Estimation!$B$18="",0,IF(ISNUMBER(SEARCH(LOWER(Estimation!$B$18),F249)),1,0))</f>
        <v>0</v>
      </c>
      <c r="H249" s="5" t="str">
        <f>IF(G249=1,SUM($G$4:G249),"")</f>
        <v/>
      </c>
    </row>
    <row r="250" spans="1:8" x14ac:dyDescent="0.35">
      <c r="A250" s="56" t="s">
        <v>975</v>
      </c>
      <c r="B250" s="56" t="s">
        <v>1008</v>
      </c>
      <c r="C250" s="56" t="s">
        <v>1009</v>
      </c>
      <c r="D250" s="39">
        <v>275</v>
      </c>
      <c r="E250" s="56" t="s">
        <v>1010</v>
      </c>
      <c r="F250" s="55" t="s">
        <v>1011</v>
      </c>
      <c r="G250" s="5">
        <f>IF(Estimation!$B$18="",0,IF(ISNUMBER(SEARCH(LOWER(Estimation!$B$18),F250)),1,0))</f>
        <v>0</v>
      </c>
      <c r="H250" s="5" t="str">
        <f>IF(G250=1,SUM($G$4:G250),"")</f>
        <v/>
      </c>
    </row>
    <row r="251" spans="1:8" x14ac:dyDescent="0.35">
      <c r="A251" s="56" t="s">
        <v>975</v>
      </c>
      <c r="B251" s="56" t="s">
        <v>1012</v>
      </c>
      <c r="C251" s="56" t="s">
        <v>1013</v>
      </c>
      <c r="D251" s="39">
        <v>700</v>
      </c>
      <c r="E251" s="56" t="s">
        <v>1014</v>
      </c>
      <c r="F251" s="55" t="s">
        <v>1015</v>
      </c>
      <c r="G251" s="5">
        <f>IF(Estimation!$B$18="",0,IF(ISNUMBER(SEARCH(LOWER(Estimation!$B$18),F251)),1,0))</f>
        <v>0</v>
      </c>
      <c r="H251" s="5" t="str">
        <f>IF(G251=1,SUM($G$4:G251),"")</f>
        <v/>
      </c>
    </row>
    <row r="252" spans="1:8" x14ac:dyDescent="0.35">
      <c r="A252" s="56" t="s">
        <v>975</v>
      </c>
      <c r="B252" s="56" t="s">
        <v>1016</v>
      </c>
      <c r="C252" s="56" t="s">
        <v>1017</v>
      </c>
      <c r="D252" s="39">
        <v>271</v>
      </c>
      <c r="E252" s="56" t="s">
        <v>1018</v>
      </c>
      <c r="F252" s="55" t="s">
        <v>1019</v>
      </c>
      <c r="G252" s="5">
        <f>IF(Estimation!$B$18="",0,IF(ISNUMBER(SEARCH(LOWER(Estimation!$B$18),F252)),1,0))</f>
        <v>0</v>
      </c>
      <c r="H252" s="5" t="str">
        <f>IF(G252=1,SUM($G$4:G252),"")</f>
        <v/>
      </c>
    </row>
    <row r="253" spans="1:8" x14ac:dyDescent="0.35">
      <c r="A253" s="56" t="s">
        <v>975</v>
      </c>
      <c r="B253" s="56" t="s">
        <v>1020</v>
      </c>
      <c r="C253" s="56" t="s">
        <v>1021</v>
      </c>
      <c r="D253" s="39">
        <v>911</v>
      </c>
      <c r="E253" s="56" t="s">
        <v>1022</v>
      </c>
      <c r="F253" s="55" t="s">
        <v>1023</v>
      </c>
      <c r="G253" s="5">
        <f>IF(Estimation!$B$18="",0,IF(ISNUMBER(SEARCH(LOWER(Estimation!$B$18),F253)),1,0))</f>
        <v>0</v>
      </c>
      <c r="H253" s="5" t="str">
        <f>IF(G253=1,SUM($G$4:G253),"")</f>
        <v/>
      </c>
    </row>
    <row r="254" spans="1:8" x14ac:dyDescent="0.35">
      <c r="A254" s="56" t="s">
        <v>975</v>
      </c>
      <c r="B254" s="56" t="s">
        <v>1024</v>
      </c>
      <c r="C254" s="56" t="s">
        <v>1025</v>
      </c>
      <c r="D254" s="39">
        <v>903</v>
      </c>
      <c r="E254" s="56" t="s">
        <v>1026</v>
      </c>
      <c r="F254" s="55" t="s">
        <v>1027</v>
      </c>
      <c r="G254" s="5">
        <f>IF(Estimation!$B$18="",0,IF(ISNUMBER(SEARCH(LOWER(Estimation!$B$18),F254)),1,0))</f>
        <v>0</v>
      </c>
      <c r="H254" s="5" t="str">
        <f>IF(G254=1,SUM($G$4:G254),"")</f>
        <v/>
      </c>
    </row>
    <row r="255" spans="1:8" x14ac:dyDescent="0.35">
      <c r="A255" s="56" t="s">
        <v>975</v>
      </c>
      <c r="B255" s="56" t="s">
        <v>1028</v>
      </c>
      <c r="C255" s="56" t="s">
        <v>1029</v>
      </c>
      <c r="D255" s="39">
        <v>992</v>
      </c>
      <c r="E255" s="56" t="s">
        <v>1030</v>
      </c>
      <c r="F255" s="55" t="s">
        <v>1031</v>
      </c>
      <c r="G255" s="5">
        <f>IF(Estimation!$B$18="",0,IF(ISNUMBER(SEARCH(LOWER(Estimation!$B$18),F255)),1,0))</f>
        <v>0</v>
      </c>
      <c r="H255" s="5" t="str">
        <f>IF(G255=1,SUM($G$4:G255),"")</f>
        <v/>
      </c>
    </row>
    <row r="256" spans="1:8" x14ac:dyDescent="0.35">
      <c r="A256" s="56" t="s">
        <v>975</v>
      </c>
      <c r="B256" s="56" t="s">
        <v>1032</v>
      </c>
      <c r="C256" s="56" t="s">
        <v>1033</v>
      </c>
      <c r="D256" s="39">
        <v>98</v>
      </c>
      <c r="E256" s="56" t="s">
        <v>1034</v>
      </c>
      <c r="F256" s="55" t="s">
        <v>1035</v>
      </c>
      <c r="G256" s="5">
        <f>IF(Estimation!$B$18="",0,IF(ISNUMBER(SEARCH(LOWER(Estimation!$B$18),F256)),1,0))</f>
        <v>0</v>
      </c>
      <c r="H256" s="5" t="str">
        <f>IF(G256=1,SUM($G$4:G256),"")</f>
        <v/>
      </c>
    </row>
    <row r="257" spans="1:8" x14ac:dyDescent="0.35">
      <c r="A257" s="56" t="s">
        <v>975</v>
      </c>
      <c r="B257" s="56" t="s">
        <v>1036</v>
      </c>
      <c r="C257" s="56" t="s">
        <v>1037</v>
      </c>
      <c r="D257" s="39">
        <v>92.5</v>
      </c>
      <c r="E257" s="56" t="s">
        <v>1038</v>
      </c>
      <c r="F257" s="55" t="s">
        <v>1039</v>
      </c>
      <c r="G257" s="5">
        <f>IF(Estimation!$B$18="",0,IF(ISNUMBER(SEARCH(LOWER(Estimation!$B$18),F257)),1,0))</f>
        <v>0</v>
      </c>
      <c r="H257" s="5" t="str">
        <f>IF(G257=1,SUM($G$4:G257),"")</f>
        <v/>
      </c>
    </row>
    <row r="258" spans="1:8" x14ac:dyDescent="0.35">
      <c r="A258" s="56" t="s">
        <v>975</v>
      </c>
      <c r="B258" s="56" t="s">
        <v>1040</v>
      </c>
      <c r="C258" s="56" t="s">
        <v>1041</v>
      </c>
      <c r="D258" s="39">
        <v>144</v>
      </c>
      <c r="E258" s="56" t="s">
        <v>1042</v>
      </c>
      <c r="F258" s="55" t="s">
        <v>1043</v>
      </c>
      <c r="G258" s="5">
        <f>IF(Estimation!$B$18="",0,IF(ISNUMBER(SEARCH(LOWER(Estimation!$B$18),F258)),1,0))</f>
        <v>0</v>
      </c>
      <c r="H258" s="5" t="str">
        <f>IF(G258=1,SUM($G$4:G258),"")</f>
        <v/>
      </c>
    </row>
    <row r="259" spans="1:8" x14ac:dyDescent="0.35">
      <c r="A259" s="56" t="s">
        <v>975</v>
      </c>
      <c r="B259" s="56" t="s">
        <v>1044</v>
      </c>
      <c r="C259" s="56" t="s">
        <v>1045</v>
      </c>
      <c r="D259" s="39">
        <v>139</v>
      </c>
      <c r="E259" s="56" t="s">
        <v>1046</v>
      </c>
      <c r="F259" s="55" t="s">
        <v>1047</v>
      </c>
      <c r="G259" s="5">
        <f>IF(Estimation!$B$18="",0,IF(ISNUMBER(SEARCH(LOWER(Estimation!$B$18),F259)),1,0))</f>
        <v>0</v>
      </c>
      <c r="H259" s="5" t="str">
        <f>IF(G259=1,SUM($G$4:G259),"")</f>
        <v/>
      </c>
    </row>
    <row r="260" spans="1:8" x14ac:dyDescent="0.35">
      <c r="A260" s="56" t="s">
        <v>975</v>
      </c>
      <c r="B260" s="56" t="s">
        <v>1048</v>
      </c>
      <c r="C260" s="56" t="s">
        <v>1049</v>
      </c>
      <c r="D260" s="39">
        <v>100</v>
      </c>
      <c r="E260" s="56" t="s">
        <v>1050</v>
      </c>
      <c r="F260" s="55" t="s">
        <v>1051</v>
      </c>
      <c r="G260" s="5">
        <f>IF(Estimation!$B$18="",0,IF(ISNUMBER(SEARCH(LOWER(Estimation!$B$18),F260)),1,0))</f>
        <v>0</v>
      </c>
      <c r="H260" s="5" t="str">
        <f>IF(G260=1,SUM($G$4:G260),"")</f>
        <v/>
      </c>
    </row>
    <row r="261" spans="1:8" x14ac:dyDescent="0.35">
      <c r="A261" s="56" t="s">
        <v>975</v>
      </c>
      <c r="B261" s="56" t="s">
        <v>1052</v>
      </c>
      <c r="C261" s="56" t="s">
        <v>1053</v>
      </c>
      <c r="D261" s="39">
        <v>95</v>
      </c>
      <c r="E261" s="56" t="s">
        <v>1054</v>
      </c>
      <c r="F261" s="55" t="s">
        <v>1055</v>
      </c>
      <c r="G261" s="5">
        <f>IF(Estimation!$B$18="",0,IF(ISNUMBER(SEARCH(LOWER(Estimation!$B$18),F261)),1,0))</f>
        <v>0</v>
      </c>
      <c r="H261" s="5" t="str">
        <f>IF(G261=1,SUM($G$4:G261),"")</f>
        <v/>
      </c>
    </row>
    <row r="262" spans="1:8" x14ac:dyDescent="0.35">
      <c r="A262" s="56" t="s">
        <v>975</v>
      </c>
      <c r="B262" s="56" t="s">
        <v>1056</v>
      </c>
      <c r="C262" s="56" t="s">
        <v>1057</v>
      </c>
      <c r="D262" s="39">
        <v>15</v>
      </c>
      <c r="E262" s="56" t="s">
        <v>1058</v>
      </c>
      <c r="F262" s="55" t="s">
        <v>1059</v>
      </c>
      <c r="G262" s="5">
        <f>IF(Estimation!$B$18="",0,IF(ISNUMBER(SEARCH(LOWER(Estimation!$B$18),F262)),1,0))</f>
        <v>0</v>
      </c>
      <c r="H262" s="5" t="str">
        <f>IF(G262=1,SUM($G$4:G262),"")</f>
        <v/>
      </c>
    </row>
    <row r="263" spans="1:8" x14ac:dyDescent="0.35">
      <c r="A263" s="56" t="s">
        <v>975</v>
      </c>
      <c r="B263" s="56" t="s">
        <v>1060</v>
      </c>
      <c r="C263" s="56" t="s">
        <v>1061</v>
      </c>
      <c r="D263" s="39">
        <v>23</v>
      </c>
      <c r="E263" s="56" t="s">
        <v>1062</v>
      </c>
      <c r="F263" s="55" t="s">
        <v>1063</v>
      </c>
      <c r="G263" s="5">
        <f>IF(Estimation!$B$18="",0,IF(ISNUMBER(SEARCH(LOWER(Estimation!$B$18),F263)),1,0))</f>
        <v>0</v>
      </c>
      <c r="H263" s="5" t="str">
        <f>IF(G263=1,SUM($G$4:G263),"")</f>
        <v/>
      </c>
    </row>
    <row r="264" spans="1:8" x14ac:dyDescent="0.35">
      <c r="A264" s="56" t="s">
        <v>975</v>
      </c>
      <c r="B264" s="56" t="s">
        <v>1064</v>
      </c>
      <c r="C264" s="56" t="s">
        <v>1065</v>
      </c>
      <c r="D264" s="39">
        <v>440</v>
      </c>
      <c r="E264" s="56" t="s">
        <v>1066</v>
      </c>
      <c r="F264" s="55" t="s">
        <v>1067</v>
      </c>
      <c r="G264" s="5">
        <f>IF(Estimation!$B$18="",0,IF(ISNUMBER(SEARCH(LOWER(Estimation!$B$18),F264)),1,0))</f>
        <v>0</v>
      </c>
      <c r="H264" s="5" t="str">
        <f>IF(G264=1,SUM($G$4:G264),"")</f>
        <v/>
      </c>
    </row>
    <row r="265" spans="1:8" x14ac:dyDescent="0.35">
      <c r="A265" s="56" t="s">
        <v>975</v>
      </c>
      <c r="B265" s="56" t="s">
        <v>1068</v>
      </c>
      <c r="C265" s="56" t="s">
        <v>1069</v>
      </c>
      <c r="D265" s="39">
        <v>135</v>
      </c>
      <c r="E265" s="56" t="s">
        <v>1070</v>
      </c>
      <c r="F265" s="55" t="s">
        <v>1071</v>
      </c>
      <c r="G265" s="5">
        <f>IF(Estimation!$B$18="",0,IF(ISNUMBER(SEARCH(LOWER(Estimation!$B$18),F265)),1,0))</f>
        <v>0</v>
      </c>
      <c r="H265" s="5" t="str">
        <f>IF(G265=1,SUM($G$4:G265),"")</f>
        <v/>
      </c>
    </row>
    <row r="266" spans="1:8" x14ac:dyDescent="0.35">
      <c r="A266" s="56" t="s">
        <v>975</v>
      </c>
      <c r="B266" s="56" t="s">
        <v>1072</v>
      </c>
      <c r="C266" s="56" t="s">
        <v>1073</v>
      </c>
      <c r="D266" s="39">
        <v>340</v>
      </c>
      <c r="E266" s="56" t="s">
        <v>1074</v>
      </c>
      <c r="F266" s="55" t="s">
        <v>1075</v>
      </c>
      <c r="G266" s="5">
        <f>IF(Estimation!$B$18="",0,IF(ISNUMBER(SEARCH(LOWER(Estimation!$B$18),F266)),1,0))</f>
        <v>0</v>
      </c>
      <c r="H266" s="5" t="str">
        <f>IF(G266=1,SUM($G$4:G266),"")</f>
        <v/>
      </c>
    </row>
    <row r="267" spans="1:8" x14ac:dyDescent="0.35">
      <c r="A267" s="56" t="s">
        <v>975</v>
      </c>
      <c r="B267" s="56" t="s">
        <v>1076</v>
      </c>
      <c r="C267" s="56" t="s">
        <v>1077</v>
      </c>
      <c r="D267" s="39">
        <v>148</v>
      </c>
      <c r="E267" s="56" t="s">
        <v>1078</v>
      </c>
      <c r="F267" s="55" t="s">
        <v>1079</v>
      </c>
      <c r="G267" s="5">
        <f>IF(Estimation!$B$18="",0,IF(ISNUMBER(SEARCH(LOWER(Estimation!$B$18),F267)),1,0))</f>
        <v>0</v>
      </c>
      <c r="H267" s="5" t="str">
        <f>IF(G267=1,SUM($G$4:G267),"")</f>
        <v/>
      </c>
    </row>
    <row r="268" spans="1:8" x14ac:dyDescent="0.35">
      <c r="A268" s="56" t="s">
        <v>975</v>
      </c>
      <c r="B268" s="56" t="s">
        <v>1080</v>
      </c>
      <c r="C268" s="56" t="s">
        <v>1081</v>
      </c>
      <c r="D268" s="39">
        <v>18</v>
      </c>
      <c r="E268" s="56" t="s">
        <v>1082</v>
      </c>
      <c r="F268" s="55" t="s">
        <v>1083</v>
      </c>
      <c r="G268" s="5">
        <f>IF(Estimation!$B$18="",0,IF(ISNUMBER(SEARCH(LOWER(Estimation!$B$18),F268)),1,0))</f>
        <v>0</v>
      </c>
      <c r="H268" s="5" t="str">
        <f>IF(G268=1,SUM($G$4:G268),"")</f>
        <v/>
      </c>
    </row>
    <row r="269" spans="1:8" x14ac:dyDescent="0.35">
      <c r="A269" s="56" t="s">
        <v>975</v>
      </c>
      <c r="B269" s="56" t="s">
        <v>1084</v>
      </c>
      <c r="C269" s="56" t="s">
        <v>1085</v>
      </c>
      <c r="D269" s="39">
        <v>27.93</v>
      </c>
      <c r="E269" s="56" t="s">
        <v>1086</v>
      </c>
      <c r="F269" s="55" t="s">
        <v>1087</v>
      </c>
      <c r="G269" s="5">
        <f>IF(Estimation!$B$18="",0,IF(ISNUMBER(SEARCH(LOWER(Estimation!$B$18),F269)),1,0))</f>
        <v>0</v>
      </c>
      <c r="H269" s="5" t="str">
        <f>IF(G269=1,SUM($G$4:G269),"")</f>
        <v/>
      </c>
    </row>
    <row r="270" spans="1:8" x14ac:dyDescent="0.35">
      <c r="A270" s="56" t="s">
        <v>975</v>
      </c>
      <c r="B270" s="56" t="s">
        <v>1088</v>
      </c>
      <c r="C270" s="56" t="s">
        <v>1089</v>
      </c>
      <c r="D270" s="39">
        <v>11.76</v>
      </c>
      <c r="E270" s="56" t="s">
        <v>1090</v>
      </c>
      <c r="F270" s="55" t="s">
        <v>1091</v>
      </c>
      <c r="G270" s="5">
        <f>IF(Estimation!$B$18="",0,IF(ISNUMBER(SEARCH(LOWER(Estimation!$B$18),F270)),1,0))</f>
        <v>0</v>
      </c>
      <c r="H270" s="5" t="str">
        <f>IF(G270=1,SUM($G$4:G270),"")</f>
        <v/>
      </c>
    </row>
    <row r="271" spans="1:8" x14ac:dyDescent="0.35">
      <c r="A271" s="56" t="s">
        <v>975</v>
      </c>
      <c r="B271" s="56" t="s">
        <v>1092</v>
      </c>
      <c r="C271" s="56" t="s">
        <v>1093</v>
      </c>
      <c r="D271" s="39">
        <v>105</v>
      </c>
      <c r="E271" s="56" t="s">
        <v>1094</v>
      </c>
      <c r="F271" s="55" t="s">
        <v>1095</v>
      </c>
      <c r="G271" s="5">
        <f>IF(Estimation!$B$18="",0,IF(ISNUMBER(SEARCH(LOWER(Estimation!$B$18),F271)),1,0))</f>
        <v>0</v>
      </c>
      <c r="H271" s="5" t="str">
        <f>IF(G271=1,SUM($G$4:G271),"")</f>
        <v/>
      </c>
    </row>
    <row r="272" spans="1:8" x14ac:dyDescent="0.35">
      <c r="A272" s="56" t="s">
        <v>975</v>
      </c>
      <c r="B272" s="56" t="s">
        <v>1096</v>
      </c>
      <c r="C272" s="56" t="s">
        <v>1097</v>
      </c>
      <c r="D272" s="39">
        <v>121</v>
      </c>
      <c r="E272" s="56" t="s">
        <v>1098</v>
      </c>
      <c r="F272" s="55" t="s">
        <v>1099</v>
      </c>
      <c r="G272" s="5">
        <f>IF(Estimation!$B$18="",0,IF(ISNUMBER(SEARCH(LOWER(Estimation!$B$18),F272)),1,0))</f>
        <v>0</v>
      </c>
      <c r="H272" s="5" t="str">
        <f>IF(G272=1,SUM($G$4:G272),"")</f>
        <v/>
      </c>
    </row>
    <row r="273" spans="1:8" x14ac:dyDescent="0.35">
      <c r="A273" s="56" t="s">
        <v>975</v>
      </c>
      <c r="B273" s="56" t="s">
        <v>1100</v>
      </c>
      <c r="C273" s="56" t="s">
        <v>1101</v>
      </c>
      <c r="D273" s="39">
        <v>168</v>
      </c>
      <c r="E273" s="56" t="s">
        <v>1102</v>
      </c>
      <c r="F273" s="55" t="s">
        <v>1103</v>
      </c>
      <c r="G273" s="5">
        <f>IF(Estimation!$B$18="",0,IF(ISNUMBER(SEARCH(LOWER(Estimation!$B$18),F273)),1,0))</f>
        <v>0</v>
      </c>
      <c r="H273" s="5" t="str">
        <f>IF(G273=1,SUM($G$4:G273),"")</f>
        <v/>
      </c>
    </row>
    <row r="274" spans="1:8" x14ac:dyDescent="0.35">
      <c r="A274" s="56" t="s">
        <v>975</v>
      </c>
      <c r="B274" s="56" t="s">
        <v>1104</v>
      </c>
      <c r="C274" s="56" t="s">
        <v>1105</v>
      </c>
      <c r="D274" s="39">
        <v>234</v>
      </c>
      <c r="E274" s="56" t="s">
        <v>1106</v>
      </c>
      <c r="F274" s="55" t="s">
        <v>1107</v>
      </c>
      <c r="G274" s="5">
        <f>IF(Estimation!$B$18="",0,IF(ISNUMBER(SEARCH(LOWER(Estimation!$B$18),F274)),1,0))</f>
        <v>0</v>
      </c>
      <c r="H274" s="5" t="str">
        <f>IF(G274=1,SUM($G$4:G274),"")</f>
        <v/>
      </c>
    </row>
    <row r="275" spans="1:8" x14ac:dyDescent="0.35">
      <c r="A275" s="56" t="s">
        <v>975</v>
      </c>
      <c r="B275" s="56" t="s">
        <v>1108</v>
      </c>
      <c r="C275" s="56" t="s">
        <v>1109</v>
      </c>
      <c r="D275" s="39">
        <v>285</v>
      </c>
      <c r="E275" s="56" t="s">
        <v>1110</v>
      </c>
      <c r="F275" s="55" t="s">
        <v>1111</v>
      </c>
      <c r="G275" s="5">
        <f>IF(Estimation!$B$18="",0,IF(ISNUMBER(SEARCH(LOWER(Estimation!$B$18),F275)),1,0))</f>
        <v>0</v>
      </c>
      <c r="H275" s="5" t="str">
        <f>IF(G275=1,SUM($G$4:G275),"")</f>
        <v/>
      </c>
    </row>
    <row r="276" spans="1:8" x14ac:dyDescent="0.35">
      <c r="A276" s="56" t="s">
        <v>975</v>
      </c>
      <c r="B276" s="56" t="s">
        <v>1112</v>
      </c>
      <c r="C276" s="56" t="s">
        <v>1113</v>
      </c>
      <c r="D276" s="39">
        <v>188</v>
      </c>
      <c r="E276" s="56" t="s">
        <v>1114</v>
      </c>
      <c r="F276" s="55" t="s">
        <v>1115</v>
      </c>
      <c r="G276" s="5">
        <f>IF(Estimation!$B$18="",0,IF(ISNUMBER(SEARCH(LOWER(Estimation!$B$18),F276)),1,0))</f>
        <v>0</v>
      </c>
      <c r="H276" s="5" t="str">
        <f>IF(G276=1,SUM($G$4:G276),"")</f>
        <v/>
      </c>
    </row>
    <row r="277" spans="1:8" x14ac:dyDescent="0.35">
      <c r="A277" s="56" t="s">
        <v>975</v>
      </c>
      <c r="B277" s="56" t="s">
        <v>1116</v>
      </c>
      <c r="C277" s="56" t="s">
        <v>1117</v>
      </c>
      <c r="D277" s="39">
        <v>169</v>
      </c>
      <c r="E277" s="56" t="s">
        <v>1118</v>
      </c>
      <c r="F277" s="55" t="s">
        <v>1119</v>
      </c>
      <c r="G277" s="5">
        <f>IF(Estimation!$B$18="",0,IF(ISNUMBER(SEARCH(LOWER(Estimation!$B$18),F277)),1,0))</f>
        <v>0</v>
      </c>
      <c r="H277" s="5" t="str">
        <f>IF(G277=1,SUM($G$4:G277),"")</f>
        <v/>
      </c>
    </row>
    <row r="278" spans="1:8" x14ac:dyDescent="0.35">
      <c r="A278" s="56" t="s">
        <v>975</v>
      </c>
      <c r="B278" s="56" t="s">
        <v>1120</v>
      </c>
      <c r="C278" s="56" t="s">
        <v>1121</v>
      </c>
      <c r="D278" s="39">
        <v>267</v>
      </c>
      <c r="E278" s="56" t="s">
        <v>1122</v>
      </c>
      <c r="F278" s="55" t="s">
        <v>1123</v>
      </c>
      <c r="G278" s="5">
        <f>IF(Estimation!$B$18="",0,IF(ISNUMBER(SEARCH(LOWER(Estimation!$B$18),F278)),1,0))</f>
        <v>0</v>
      </c>
      <c r="H278" s="5" t="str">
        <f>IF(G278=1,SUM($G$4:G278),"")</f>
        <v/>
      </c>
    </row>
    <row r="279" spans="1:8" x14ac:dyDescent="0.35">
      <c r="A279" s="56" t="s">
        <v>975</v>
      </c>
      <c r="B279" s="56" t="s">
        <v>1124</v>
      </c>
      <c r="C279" s="56" t="s">
        <v>1125</v>
      </c>
      <c r="D279" s="39">
        <v>10</v>
      </c>
      <c r="E279" s="56" t="s">
        <v>1126</v>
      </c>
      <c r="F279" s="55" t="s">
        <v>1127</v>
      </c>
      <c r="G279" s="5">
        <f>IF(Estimation!$B$18="",0,IF(ISNUMBER(SEARCH(LOWER(Estimation!$B$18),F279)),1,0))</f>
        <v>0</v>
      </c>
      <c r="H279" s="5" t="str">
        <f>IF(G279=1,SUM($G$4:G279),"")</f>
        <v/>
      </c>
    </row>
    <row r="280" spans="1:8" x14ac:dyDescent="0.35">
      <c r="A280" s="56" t="s">
        <v>975</v>
      </c>
      <c r="B280" s="56" t="s">
        <v>1128</v>
      </c>
      <c r="C280" s="56" t="s">
        <v>1129</v>
      </c>
      <c r="D280" s="39">
        <v>50</v>
      </c>
      <c r="E280" s="56" t="s">
        <v>1130</v>
      </c>
      <c r="F280" s="55" t="s">
        <v>1131</v>
      </c>
      <c r="G280" s="5">
        <f>IF(Estimation!$B$18="",0,IF(ISNUMBER(SEARCH(LOWER(Estimation!$B$18),F280)),1,0))</f>
        <v>0</v>
      </c>
      <c r="H280" s="5" t="str">
        <f>IF(G280=1,SUM($G$4:G280),"")</f>
        <v/>
      </c>
    </row>
    <row r="281" spans="1:8" x14ac:dyDescent="0.35">
      <c r="A281" s="56" t="s">
        <v>975</v>
      </c>
      <c r="B281" s="56" t="s">
        <v>1132</v>
      </c>
      <c r="C281" s="56" t="s">
        <v>1133</v>
      </c>
      <c r="D281" s="39">
        <v>64.680000000000007</v>
      </c>
      <c r="E281" s="56" t="s">
        <v>1134</v>
      </c>
      <c r="F281" s="55" t="s">
        <v>1135</v>
      </c>
      <c r="G281" s="5">
        <f>IF(Estimation!$B$18="",0,IF(ISNUMBER(SEARCH(LOWER(Estimation!$B$18),F281)),1,0))</f>
        <v>0</v>
      </c>
      <c r="H281" s="5" t="str">
        <f>IF(G281=1,SUM($G$4:G281),"")</f>
        <v/>
      </c>
    </row>
    <row r="282" spans="1:8" x14ac:dyDescent="0.35">
      <c r="A282" s="56" t="s">
        <v>975</v>
      </c>
      <c r="B282" s="56" t="s">
        <v>1136</v>
      </c>
      <c r="C282" s="56" t="s">
        <v>1137</v>
      </c>
      <c r="D282" s="39">
        <v>66</v>
      </c>
      <c r="E282" s="56" t="s">
        <v>1138</v>
      </c>
      <c r="F282" s="55" t="s">
        <v>1139</v>
      </c>
      <c r="G282" s="5">
        <f>IF(Estimation!$B$18="",0,IF(ISNUMBER(SEARCH(LOWER(Estimation!$B$18),F282)),1,0))</f>
        <v>0</v>
      </c>
      <c r="H282" s="5" t="str">
        <f>IF(G282=1,SUM($G$4:G282),"")</f>
        <v/>
      </c>
    </row>
    <row r="283" spans="1:8" x14ac:dyDescent="0.35">
      <c r="A283" s="56" t="s">
        <v>975</v>
      </c>
      <c r="B283" s="56" t="s">
        <v>1140</v>
      </c>
      <c r="C283" s="56" t="s">
        <v>1141</v>
      </c>
      <c r="D283" s="39">
        <v>90</v>
      </c>
      <c r="E283" s="56" t="s">
        <v>1142</v>
      </c>
      <c r="F283" s="55" t="s">
        <v>1143</v>
      </c>
      <c r="G283" s="5">
        <f>IF(Estimation!$B$18="",0,IF(ISNUMBER(SEARCH(LOWER(Estimation!$B$18),F283)),1,0))</f>
        <v>0</v>
      </c>
      <c r="H283" s="5" t="str">
        <f>IF(G283=1,SUM($G$4:G283),"")</f>
        <v/>
      </c>
    </row>
    <row r="284" spans="1:8" x14ac:dyDescent="0.35">
      <c r="A284" s="56" t="s">
        <v>975</v>
      </c>
      <c r="B284" s="56" t="s">
        <v>1144</v>
      </c>
      <c r="C284" s="56" t="s">
        <v>1145</v>
      </c>
      <c r="D284" s="39">
        <v>84.53</v>
      </c>
      <c r="E284" s="56" t="s">
        <v>1146</v>
      </c>
      <c r="F284" s="55" t="s">
        <v>1147</v>
      </c>
      <c r="G284" s="5">
        <f>IF(Estimation!$B$18="",0,IF(ISNUMBER(SEARCH(LOWER(Estimation!$B$18),F284)),1,0))</f>
        <v>0</v>
      </c>
      <c r="H284" s="5" t="str">
        <f>IF(G284=1,SUM($G$4:G284),"")</f>
        <v/>
      </c>
    </row>
    <row r="285" spans="1:8" x14ac:dyDescent="0.35">
      <c r="A285" s="56" t="s">
        <v>975</v>
      </c>
      <c r="B285" s="56" t="s">
        <v>1148</v>
      </c>
      <c r="C285" s="56" t="s">
        <v>1149</v>
      </c>
      <c r="D285" s="39">
        <v>152</v>
      </c>
      <c r="E285" s="56" t="s">
        <v>1150</v>
      </c>
      <c r="F285" s="55" t="s">
        <v>1151</v>
      </c>
      <c r="G285" s="5">
        <f>IF(Estimation!$B$18="",0,IF(ISNUMBER(SEARCH(LOWER(Estimation!$B$18),F285)),1,0))</f>
        <v>0</v>
      </c>
      <c r="H285" s="5" t="str">
        <f>IF(G285=1,SUM($G$4:G285),"")</f>
        <v/>
      </c>
    </row>
    <row r="286" spans="1:8" x14ac:dyDescent="0.35">
      <c r="A286" s="56" t="s">
        <v>975</v>
      </c>
      <c r="B286" s="56" t="s">
        <v>1152</v>
      </c>
      <c r="C286" s="56" t="s">
        <v>1153</v>
      </c>
      <c r="D286" s="39">
        <v>189</v>
      </c>
      <c r="E286" s="56" t="s">
        <v>1154</v>
      </c>
      <c r="F286" s="55" t="s">
        <v>1155</v>
      </c>
      <c r="G286" s="5">
        <f>IF(Estimation!$B$18="",0,IF(ISNUMBER(SEARCH(LOWER(Estimation!$B$18),F286)),1,0))</f>
        <v>0</v>
      </c>
      <c r="H286" s="5" t="str">
        <f>IF(G286=1,SUM($G$4:G286),"")</f>
        <v/>
      </c>
    </row>
    <row r="287" spans="1:8" x14ac:dyDescent="0.35">
      <c r="A287" s="56" t="s">
        <v>975</v>
      </c>
      <c r="B287" s="56" t="s">
        <v>1156</v>
      </c>
      <c r="C287" s="56" t="s">
        <v>1157</v>
      </c>
      <c r="D287" s="39">
        <v>182</v>
      </c>
      <c r="E287" s="56" t="s">
        <v>1158</v>
      </c>
      <c r="F287" s="55" t="s">
        <v>1159</v>
      </c>
      <c r="G287" s="5">
        <f>IF(Estimation!$B$18="",0,IF(ISNUMBER(SEARCH(LOWER(Estimation!$B$18),F287)),1,0))</f>
        <v>0</v>
      </c>
      <c r="H287" s="5" t="str">
        <f>IF(G287=1,SUM($G$4:G287),"")</f>
        <v/>
      </c>
    </row>
    <row r="288" spans="1:8" x14ac:dyDescent="0.35">
      <c r="A288" s="56" t="s">
        <v>975</v>
      </c>
      <c r="B288" s="56" t="s">
        <v>1160</v>
      </c>
      <c r="C288" s="56" t="s">
        <v>1161</v>
      </c>
      <c r="D288" s="39">
        <v>184</v>
      </c>
      <c r="E288" s="56" t="s">
        <v>1162</v>
      </c>
      <c r="F288" s="55" t="s">
        <v>1163</v>
      </c>
      <c r="G288" s="5">
        <f>IF(Estimation!$B$18="",0,IF(ISNUMBER(SEARCH(LOWER(Estimation!$B$18),F288)),1,0))</f>
        <v>0</v>
      </c>
      <c r="H288" s="5" t="str">
        <f>IF(G288=1,SUM($G$4:G288),"")</f>
        <v/>
      </c>
    </row>
    <row r="289" spans="1:8" x14ac:dyDescent="0.35">
      <c r="A289" s="56" t="s">
        <v>975</v>
      </c>
      <c r="B289" s="56" t="s">
        <v>1164</v>
      </c>
      <c r="C289" s="56" t="s">
        <v>1165</v>
      </c>
      <c r="D289" s="39">
        <v>190</v>
      </c>
      <c r="E289" s="56" t="s">
        <v>1166</v>
      </c>
      <c r="F289" s="55" t="s">
        <v>1167</v>
      </c>
      <c r="G289" s="5">
        <f>IF(Estimation!$B$18="",0,IF(ISNUMBER(SEARCH(LOWER(Estimation!$B$18),F289)),1,0))</f>
        <v>0</v>
      </c>
      <c r="H289" s="5" t="str">
        <f>IF(G289=1,SUM($G$4:G289),"")</f>
        <v/>
      </c>
    </row>
    <row r="290" spans="1:8" x14ac:dyDescent="0.35">
      <c r="A290" s="56" t="s">
        <v>975</v>
      </c>
      <c r="B290" s="56" t="s">
        <v>1168</v>
      </c>
      <c r="C290" s="56" t="s">
        <v>1169</v>
      </c>
      <c r="D290" s="39">
        <v>182</v>
      </c>
      <c r="E290" s="56" t="s">
        <v>1170</v>
      </c>
      <c r="F290" s="55" t="s">
        <v>1171</v>
      </c>
      <c r="G290" s="5">
        <f>IF(Estimation!$B$18="",0,IF(ISNUMBER(SEARCH(LOWER(Estimation!$B$18),F290)),1,0))</f>
        <v>0</v>
      </c>
      <c r="H290" s="5" t="str">
        <f>IF(G290=1,SUM($G$4:G290),"")</f>
        <v/>
      </c>
    </row>
    <row r="291" spans="1:8" x14ac:dyDescent="0.35">
      <c r="A291" s="56" t="s">
        <v>975</v>
      </c>
      <c r="B291" s="56" t="s">
        <v>1172</v>
      </c>
      <c r="C291" s="56" t="s">
        <v>1173</v>
      </c>
      <c r="D291" s="39">
        <v>182</v>
      </c>
      <c r="E291" s="56" t="s">
        <v>1174</v>
      </c>
      <c r="F291" s="55" t="s">
        <v>1175</v>
      </c>
      <c r="G291" s="5">
        <f>IF(Estimation!$B$18="",0,IF(ISNUMBER(SEARCH(LOWER(Estimation!$B$18),F291)),1,0))</f>
        <v>0</v>
      </c>
      <c r="H291" s="5" t="str">
        <f>IF(G291=1,SUM($G$4:G291),"")</f>
        <v/>
      </c>
    </row>
    <row r="292" spans="1:8" x14ac:dyDescent="0.35">
      <c r="A292" s="56" t="s">
        <v>975</v>
      </c>
      <c r="B292" s="56" t="s">
        <v>1176</v>
      </c>
      <c r="C292" s="56" t="s">
        <v>1177</v>
      </c>
      <c r="D292" s="39">
        <v>183.5</v>
      </c>
      <c r="E292" s="56" t="s">
        <v>1178</v>
      </c>
      <c r="F292" s="55" t="s">
        <v>1179</v>
      </c>
      <c r="G292" s="5">
        <f>IF(Estimation!$B$18="",0,IF(ISNUMBER(SEARCH(LOWER(Estimation!$B$18),F292)),1,0))</f>
        <v>0</v>
      </c>
      <c r="H292" s="5" t="str">
        <f>IF(G292=1,SUM($G$4:G292),"")</f>
        <v/>
      </c>
    </row>
    <row r="293" spans="1:8" x14ac:dyDescent="0.35">
      <c r="A293" s="56" t="s">
        <v>975</v>
      </c>
      <c r="B293" s="56" t="s">
        <v>1180</v>
      </c>
      <c r="C293" s="56" t="s">
        <v>1181</v>
      </c>
      <c r="D293" s="39">
        <v>189</v>
      </c>
      <c r="E293" s="56" t="s">
        <v>1182</v>
      </c>
      <c r="F293" s="55" t="s">
        <v>1183</v>
      </c>
      <c r="G293" s="5">
        <f>IF(Estimation!$B$18="",0,IF(ISNUMBER(SEARCH(LOWER(Estimation!$B$18),F293)),1,0))</f>
        <v>0</v>
      </c>
      <c r="H293" s="5" t="str">
        <f>IF(G293=1,SUM($G$4:G293),"")</f>
        <v/>
      </c>
    </row>
    <row r="294" spans="1:8" x14ac:dyDescent="0.35">
      <c r="A294" s="56" t="s">
        <v>975</v>
      </c>
      <c r="B294" s="56" t="s">
        <v>1184</v>
      </c>
      <c r="C294" s="56" t="s">
        <v>1185</v>
      </c>
      <c r="D294" s="39">
        <v>11.2</v>
      </c>
      <c r="E294" s="56" t="s">
        <v>1186</v>
      </c>
      <c r="F294" s="55" t="s">
        <v>1187</v>
      </c>
      <c r="G294" s="5">
        <f>IF(Estimation!$B$18="",0,IF(ISNUMBER(SEARCH(LOWER(Estimation!$B$18),F294)),1,0))</f>
        <v>0</v>
      </c>
      <c r="H294" s="5" t="str">
        <f>IF(G294=1,SUM($G$4:G294),"")</f>
        <v/>
      </c>
    </row>
    <row r="295" spans="1:8" x14ac:dyDescent="0.35">
      <c r="A295" s="56" t="s">
        <v>975</v>
      </c>
      <c r="B295" s="56" t="s">
        <v>1188</v>
      </c>
      <c r="C295" s="56" t="s">
        <v>1189</v>
      </c>
      <c r="D295" s="39">
        <v>310</v>
      </c>
      <c r="E295" s="56" t="s">
        <v>1190</v>
      </c>
      <c r="F295" s="55" t="s">
        <v>1191</v>
      </c>
      <c r="G295" s="5">
        <f>IF(Estimation!$B$18="",0,IF(ISNUMBER(SEARCH(LOWER(Estimation!$B$18),F295)),1,0))</f>
        <v>0</v>
      </c>
      <c r="H295" s="5" t="str">
        <f>IF(G295=1,SUM($G$4:G295),"")</f>
        <v/>
      </c>
    </row>
    <row r="296" spans="1:8" x14ac:dyDescent="0.35">
      <c r="A296" s="56" t="s">
        <v>975</v>
      </c>
      <c r="B296" s="56" t="s">
        <v>1192</v>
      </c>
      <c r="C296" s="56" t="s">
        <v>1193</v>
      </c>
      <c r="D296" s="39">
        <v>130</v>
      </c>
      <c r="E296" s="56" t="s">
        <v>1194</v>
      </c>
      <c r="F296" s="55" t="s">
        <v>1195</v>
      </c>
      <c r="G296" s="5">
        <f>IF(Estimation!$B$18="",0,IF(ISNUMBER(SEARCH(LOWER(Estimation!$B$18),F296)),1,0))</f>
        <v>0</v>
      </c>
      <c r="H296" s="5" t="str">
        <f>IF(G296=1,SUM($G$4:G296),"")</f>
        <v/>
      </c>
    </row>
    <row r="297" spans="1:8" x14ac:dyDescent="0.35">
      <c r="A297" s="56" t="s">
        <v>975</v>
      </c>
      <c r="B297" s="56" t="s">
        <v>1196</v>
      </c>
      <c r="C297" s="56" t="s">
        <v>1197</v>
      </c>
      <c r="D297" s="39">
        <v>60.75</v>
      </c>
      <c r="E297" s="56" t="s">
        <v>1198</v>
      </c>
      <c r="F297" s="55" t="s">
        <v>1199</v>
      </c>
      <c r="G297" s="5">
        <f>IF(Estimation!$B$18="",0,IF(ISNUMBER(SEARCH(LOWER(Estimation!$B$18),F297)),1,0))</f>
        <v>0</v>
      </c>
      <c r="H297" s="5" t="str">
        <f>IF(G297=1,SUM($G$4:G297),"")</f>
        <v/>
      </c>
    </row>
    <row r="298" spans="1:8" x14ac:dyDescent="0.35">
      <c r="A298" s="56" t="s">
        <v>975</v>
      </c>
      <c r="B298" s="56" t="s">
        <v>1200</v>
      </c>
      <c r="C298" s="56" t="s">
        <v>1197</v>
      </c>
      <c r="D298" s="39">
        <v>69.83</v>
      </c>
      <c r="E298" s="56" t="s">
        <v>1201</v>
      </c>
      <c r="F298" s="55" t="s">
        <v>1202</v>
      </c>
      <c r="G298" s="5">
        <f>IF(Estimation!$B$18="",0,IF(ISNUMBER(SEARCH(LOWER(Estimation!$B$18),F298)),1,0))</f>
        <v>0</v>
      </c>
      <c r="H298" s="5" t="str">
        <f>IF(G298=1,SUM($G$4:G298),"")</f>
        <v/>
      </c>
    </row>
    <row r="299" spans="1:8" x14ac:dyDescent="0.35">
      <c r="A299" s="56" t="s">
        <v>975</v>
      </c>
      <c r="B299" s="56" t="s">
        <v>1203</v>
      </c>
      <c r="C299" s="56" t="s">
        <v>1204</v>
      </c>
      <c r="D299" s="39">
        <v>200</v>
      </c>
      <c r="E299" s="56" t="s">
        <v>1205</v>
      </c>
      <c r="F299" s="55" t="s">
        <v>1206</v>
      </c>
      <c r="G299" s="5">
        <f>IF(Estimation!$B$18="",0,IF(ISNUMBER(SEARCH(LOWER(Estimation!$B$18),F299)),1,0))</f>
        <v>0</v>
      </c>
      <c r="H299" s="5" t="str">
        <f>IF(G299=1,SUM($G$4:G299),"")</f>
        <v/>
      </c>
    </row>
    <row r="300" spans="1:8" x14ac:dyDescent="0.35">
      <c r="A300" s="56" t="s">
        <v>975</v>
      </c>
      <c r="B300" s="56" t="s">
        <v>1207</v>
      </c>
      <c r="C300" s="56" t="s">
        <v>1208</v>
      </c>
      <c r="D300" s="39">
        <v>350</v>
      </c>
      <c r="E300" s="56" t="s">
        <v>1209</v>
      </c>
      <c r="F300" s="55" t="s">
        <v>1210</v>
      </c>
      <c r="G300" s="5">
        <f>IF(Estimation!$B$18="",0,IF(ISNUMBER(SEARCH(LOWER(Estimation!$B$18),F300)),1,0))</f>
        <v>0</v>
      </c>
      <c r="H300" s="5" t="str">
        <f>IF(G300=1,SUM($G$4:G300),"")</f>
        <v/>
      </c>
    </row>
    <row r="301" spans="1:8" x14ac:dyDescent="0.35">
      <c r="A301" s="56" t="s">
        <v>975</v>
      </c>
      <c r="B301" s="56" t="s">
        <v>1211</v>
      </c>
      <c r="C301" s="56" t="s">
        <v>1212</v>
      </c>
      <c r="D301" s="39">
        <v>686</v>
      </c>
      <c r="E301" s="56" t="s">
        <v>1213</v>
      </c>
      <c r="F301" s="55" t="s">
        <v>1214</v>
      </c>
      <c r="G301" s="5">
        <f>IF(Estimation!$B$18="",0,IF(ISNUMBER(SEARCH(LOWER(Estimation!$B$18),F301)),1,0))</f>
        <v>0</v>
      </c>
      <c r="H301" s="5" t="str">
        <f>IF(G301=1,SUM($G$4:G301),"")</f>
        <v/>
      </c>
    </row>
    <row r="302" spans="1:8" x14ac:dyDescent="0.35">
      <c r="A302" s="56" t="s">
        <v>975</v>
      </c>
      <c r="B302" s="56" t="s">
        <v>1215</v>
      </c>
      <c r="C302" s="56" t="s">
        <v>1216</v>
      </c>
      <c r="D302" s="39">
        <v>863</v>
      </c>
      <c r="E302" s="56" t="s">
        <v>1217</v>
      </c>
      <c r="F302" s="55" t="s">
        <v>1218</v>
      </c>
      <c r="G302" s="5">
        <f>IF(Estimation!$B$18="",0,IF(ISNUMBER(SEARCH(LOWER(Estimation!$B$18),F302)),1,0))</f>
        <v>0</v>
      </c>
      <c r="H302" s="5" t="str">
        <f>IF(G302=1,SUM($G$4:G302),"")</f>
        <v/>
      </c>
    </row>
    <row r="303" spans="1:8" x14ac:dyDescent="0.35">
      <c r="A303" s="56" t="s">
        <v>975</v>
      </c>
      <c r="B303" s="56" t="s">
        <v>1219</v>
      </c>
      <c r="C303" s="56" t="s">
        <v>1220</v>
      </c>
      <c r="D303" s="39">
        <v>396</v>
      </c>
      <c r="E303" s="56" t="s">
        <v>1221</v>
      </c>
      <c r="F303" s="55" t="s">
        <v>1222</v>
      </c>
      <c r="G303" s="5">
        <f>IF(Estimation!$B$18="",0,IF(ISNUMBER(SEARCH(LOWER(Estimation!$B$18),F303)),1,0))</f>
        <v>0</v>
      </c>
      <c r="H303" s="5" t="str">
        <f>IF(G303=1,SUM($G$4:G303),"")</f>
        <v/>
      </c>
    </row>
    <row r="304" spans="1:8" x14ac:dyDescent="0.35">
      <c r="A304" s="56" t="s">
        <v>975</v>
      </c>
      <c r="B304" s="56" t="s">
        <v>1223</v>
      </c>
      <c r="C304" s="56" t="s">
        <v>1224</v>
      </c>
      <c r="D304" s="39">
        <v>300</v>
      </c>
      <c r="E304" s="56" t="s">
        <v>1225</v>
      </c>
      <c r="F304" s="55" t="s">
        <v>1226</v>
      </c>
      <c r="G304" s="5">
        <f>IF(Estimation!$B$18="",0,IF(ISNUMBER(SEARCH(LOWER(Estimation!$B$18),F304)),1,0))</f>
        <v>0</v>
      </c>
      <c r="H304" s="5" t="str">
        <f>IF(G304=1,SUM($G$4:G304),"")</f>
        <v/>
      </c>
    </row>
    <row r="305" spans="1:8" x14ac:dyDescent="0.35">
      <c r="A305" s="56" t="s">
        <v>975</v>
      </c>
      <c r="B305" s="56" t="s">
        <v>1227</v>
      </c>
      <c r="C305" s="56" t="s">
        <v>1228</v>
      </c>
      <c r="D305" s="39">
        <v>325</v>
      </c>
      <c r="E305" s="56" t="s">
        <v>1229</v>
      </c>
      <c r="F305" s="55" t="s">
        <v>1230</v>
      </c>
      <c r="G305" s="5">
        <f>IF(Estimation!$B$18="",0,IF(ISNUMBER(SEARCH(LOWER(Estimation!$B$18),F305)),1,0))</f>
        <v>0</v>
      </c>
      <c r="H305" s="5" t="str">
        <f>IF(G305=1,SUM($G$4:G305),"")</f>
        <v/>
      </c>
    </row>
    <row r="306" spans="1:8" x14ac:dyDescent="0.35">
      <c r="A306" s="56" t="s">
        <v>975</v>
      </c>
      <c r="B306" s="56" t="s">
        <v>1231</v>
      </c>
      <c r="C306" s="56" t="s">
        <v>1232</v>
      </c>
      <c r="D306" s="39">
        <v>290</v>
      </c>
      <c r="E306" s="56" t="s">
        <v>1233</v>
      </c>
      <c r="F306" s="55" t="s">
        <v>1234</v>
      </c>
      <c r="G306" s="5">
        <f>IF(Estimation!$B$18="",0,IF(ISNUMBER(SEARCH(LOWER(Estimation!$B$18),F306)),1,0))</f>
        <v>0</v>
      </c>
      <c r="H306" s="5" t="str">
        <f>IF(G306=1,SUM($G$4:G306),"")</f>
        <v/>
      </c>
    </row>
    <row r="307" spans="1:8" x14ac:dyDescent="0.35">
      <c r="A307" s="56" t="s">
        <v>975</v>
      </c>
      <c r="B307" s="56" t="s">
        <v>1235</v>
      </c>
      <c r="C307" s="56" t="s">
        <v>1236</v>
      </c>
      <c r="D307" s="39">
        <v>296</v>
      </c>
      <c r="E307" s="56" t="s">
        <v>1237</v>
      </c>
      <c r="F307" s="55" t="s">
        <v>1238</v>
      </c>
      <c r="G307" s="5">
        <f>IF(Estimation!$B$18="",0,IF(ISNUMBER(SEARCH(LOWER(Estimation!$B$18),F307)),1,0))</f>
        <v>0</v>
      </c>
      <c r="H307" s="5" t="str">
        <f>IF(G307=1,SUM($G$4:G307),"")</f>
        <v/>
      </c>
    </row>
    <row r="308" spans="1:8" x14ac:dyDescent="0.35">
      <c r="A308" s="56" t="s">
        <v>975</v>
      </c>
      <c r="B308" s="56" t="s">
        <v>1239</v>
      </c>
      <c r="C308" s="56" t="s">
        <v>1240</v>
      </c>
      <c r="D308" s="39">
        <v>478</v>
      </c>
      <c r="E308" s="56" t="s">
        <v>1241</v>
      </c>
      <c r="F308" s="55" t="s">
        <v>1242</v>
      </c>
      <c r="G308" s="5">
        <f>IF(Estimation!$B$18="",0,IF(ISNUMBER(SEARCH(LOWER(Estimation!$B$18),F308)),1,0))</f>
        <v>0</v>
      </c>
      <c r="H308" s="5" t="str">
        <f>IF(G308=1,SUM($G$4:G308),"")</f>
        <v/>
      </c>
    </row>
    <row r="309" spans="1:8" x14ac:dyDescent="0.35">
      <c r="A309" s="56" t="s">
        <v>975</v>
      </c>
      <c r="B309" s="56" t="s">
        <v>1243</v>
      </c>
      <c r="C309" s="56" t="s">
        <v>1244</v>
      </c>
      <c r="D309" s="39">
        <v>315</v>
      </c>
      <c r="E309" s="56" t="s">
        <v>1245</v>
      </c>
      <c r="F309" s="55" t="s">
        <v>1246</v>
      </c>
      <c r="G309" s="5">
        <f>IF(Estimation!$B$18="",0,IF(ISNUMBER(SEARCH(LOWER(Estimation!$B$18),F309)),1,0))</f>
        <v>0</v>
      </c>
      <c r="H309" s="5" t="str">
        <f>IF(G309=1,SUM($G$4:G309),"")</f>
        <v/>
      </c>
    </row>
    <row r="310" spans="1:8" x14ac:dyDescent="0.35">
      <c r="A310" s="56" t="s">
        <v>975</v>
      </c>
      <c r="B310" s="56" t="s">
        <v>1247</v>
      </c>
      <c r="C310" s="56" t="s">
        <v>1248</v>
      </c>
      <c r="D310" s="39">
        <v>316</v>
      </c>
      <c r="E310" s="56" t="s">
        <v>1249</v>
      </c>
      <c r="F310" s="55" t="s">
        <v>1250</v>
      </c>
      <c r="G310" s="5">
        <f>IF(Estimation!$B$18="",0,IF(ISNUMBER(SEARCH(LOWER(Estimation!$B$18),F310)),1,0))</f>
        <v>0</v>
      </c>
      <c r="H310" s="5" t="str">
        <f>IF(G310=1,SUM($G$4:G310),"")</f>
        <v/>
      </c>
    </row>
    <row r="311" spans="1:8" x14ac:dyDescent="0.35">
      <c r="A311" s="56" t="s">
        <v>975</v>
      </c>
      <c r="B311" s="56" t="s">
        <v>1251</v>
      </c>
      <c r="C311" s="56" t="s">
        <v>1252</v>
      </c>
      <c r="D311" s="39">
        <v>296</v>
      </c>
      <c r="E311" s="56" t="s">
        <v>1253</v>
      </c>
      <c r="F311" s="55" t="s">
        <v>1254</v>
      </c>
      <c r="G311" s="5">
        <f>IF(Estimation!$B$18="",0,IF(ISNUMBER(SEARCH(LOWER(Estimation!$B$18),F311)),1,0))</f>
        <v>0</v>
      </c>
      <c r="H311" s="5" t="str">
        <f>IF(G311=1,SUM($G$4:G311),"")</f>
        <v/>
      </c>
    </row>
    <row r="312" spans="1:8" x14ac:dyDescent="0.35">
      <c r="A312" s="56" t="s">
        <v>975</v>
      </c>
      <c r="B312" s="56" t="s">
        <v>1255</v>
      </c>
      <c r="C312" s="56" t="s">
        <v>1256</v>
      </c>
      <c r="D312" s="39">
        <v>430</v>
      </c>
      <c r="E312" s="56" t="s">
        <v>1257</v>
      </c>
      <c r="F312" s="55" t="s">
        <v>1258</v>
      </c>
      <c r="G312" s="5">
        <f>IF(Estimation!$B$18="",0,IF(ISNUMBER(SEARCH(LOWER(Estimation!$B$18),F312)),1,0))</f>
        <v>0</v>
      </c>
      <c r="H312" s="5" t="str">
        <f>IF(G312=1,SUM($G$4:G312),"")</f>
        <v/>
      </c>
    </row>
    <row r="313" spans="1:8" x14ac:dyDescent="0.35">
      <c r="A313" s="56" t="s">
        <v>975</v>
      </c>
      <c r="B313" s="56" t="s">
        <v>1259</v>
      </c>
      <c r="C313" s="56" t="s">
        <v>1260</v>
      </c>
      <c r="D313" s="39">
        <v>14.7</v>
      </c>
      <c r="E313" s="56" t="s">
        <v>1261</v>
      </c>
      <c r="F313" s="55" t="s">
        <v>1262</v>
      </c>
      <c r="G313" s="5">
        <f>IF(Estimation!$B$18="",0,IF(ISNUMBER(SEARCH(LOWER(Estimation!$B$18),F313)),1,0))</f>
        <v>0</v>
      </c>
      <c r="H313" s="5" t="str">
        <f>IF(G313=1,SUM($G$4:G313),"")</f>
        <v/>
      </c>
    </row>
    <row r="314" spans="1:8" x14ac:dyDescent="0.35">
      <c r="A314" s="56" t="s">
        <v>975</v>
      </c>
      <c r="B314" s="56" t="s">
        <v>1263</v>
      </c>
      <c r="C314" s="56" t="s">
        <v>1264</v>
      </c>
      <c r="D314" s="39">
        <v>9.92</v>
      </c>
      <c r="E314" s="56" t="s">
        <v>1265</v>
      </c>
      <c r="F314" s="55" t="s">
        <v>1266</v>
      </c>
      <c r="G314" s="5">
        <f>IF(Estimation!$B$18="",0,IF(ISNUMBER(SEARCH(LOWER(Estimation!$B$18),F314)),1,0))</f>
        <v>0</v>
      </c>
      <c r="H314" s="5" t="str">
        <f>IF(G314=1,SUM($G$4:G314),"")</f>
        <v/>
      </c>
    </row>
    <row r="315" spans="1:8" x14ac:dyDescent="0.35">
      <c r="A315" s="56" t="s">
        <v>975</v>
      </c>
      <c r="B315" s="56" t="s">
        <v>1267</v>
      </c>
      <c r="C315" s="56" t="s">
        <v>1268</v>
      </c>
      <c r="D315" s="39">
        <v>11.03</v>
      </c>
      <c r="E315" s="56" t="s">
        <v>1269</v>
      </c>
      <c r="F315" s="55" t="s">
        <v>1270</v>
      </c>
      <c r="G315" s="5">
        <f>IF(Estimation!$B$18="",0,IF(ISNUMBER(SEARCH(LOWER(Estimation!$B$18),F315)),1,0))</f>
        <v>0</v>
      </c>
      <c r="H315" s="5" t="str">
        <f>IF(G315=1,SUM($G$4:G315),"")</f>
        <v/>
      </c>
    </row>
    <row r="316" spans="1:8" x14ac:dyDescent="0.35">
      <c r="A316" s="56" t="s">
        <v>1271</v>
      </c>
      <c r="B316" s="56" t="s">
        <v>1272</v>
      </c>
      <c r="C316" s="56" t="s">
        <v>688</v>
      </c>
      <c r="D316" s="39">
        <v>4575</v>
      </c>
      <c r="E316" s="56" t="s">
        <v>1273</v>
      </c>
      <c r="F316" s="55" t="s">
        <v>1274</v>
      </c>
      <c r="G316" s="5">
        <f>IF(Estimation!$B$18="",0,IF(ISNUMBER(SEARCH(LOWER(Estimation!$B$18),F316)),1,0))</f>
        <v>0</v>
      </c>
      <c r="H316" s="5" t="str">
        <f>IF(G316=1,SUM($G$4:G316),"")</f>
        <v/>
      </c>
    </row>
    <row r="317" spans="1:8" x14ac:dyDescent="0.35">
      <c r="A317" s="56" t="s">
        <v>1271</v>
      </c>
      <c r="B317" s="56" t="s">
        <v>1275</v>
      </c>
      <c r="C317" s="56" t="s">
        <v>692</v>
      </c>
      <c r="D317" s="39">
        <v>5630</v>
      </c>
      <c r="E317" s="56" t="s">
        <v>1276</v>
      </c>
      <c r="F317" s="55" t="s">
        <v>1277</v>
      </c>
      <c r="G317" s="5">
        <f>IF(Estimation!$B$18="",0,IF(ISNUMBER(SEARCH(LOWER(Estimation!$B$18),F317)),1,0))</f>
        <v>0</v>
      </c>
      <c r="H317" s="5" t="str">
        <f>IF(G317=1,SUM($G$4:G317),"")</f>
        <v/>
      </c>
    </row>
    <row r="318" spans="1:8" x14ac:dyDescent="0.35">
      <c r="A318" s="56" t="s">
        <v>1271</v>
      </c>
      <c r="B318" s="56" t="s">
        <v>1278</v>
      </c>
      <c r="C318" s="56" t="s">
        <v>696</v>
      </c>
      <c r="D318" s="39">
        <v>6240</v>
      </c>
      <c r="E318" s="56" t="s">
        <v>1279</v>
      </c>
      <c r="F318" s="55" t="s">
        <v>1280</v>
      </c>
      <c r="G318" s="5">
        <f>IF(Estimation!$B$18="",0,IF(ISNUMBER(SEARCH(LOWER(Estimation!$B$18),F318)),1,0))</f>
        <v>0</v>
      </c>
      <c r="H318" s="5" t="str">
        <f>IF(G318=1,SUM($G$4:G318),"")</f>
        <v/>
      </c>
    </row>
    <row r="319" spans="1:8" x14ac:dyDescent="0.35">
      <c r="A319" s="56" t="s">
        <v>1271</v>
      </c>
      <c r="B319" s="56" t="s">
        <v>1281</v>
      </c>
      <c r="C319" s="56" t="s">
        <v>1282</v>
      </c>
      <c r="D319" s="39">
        <v>47.23</v>
      </c>
      <c r="E319" s="56" t="s">
        <v>1283</v>
      </c>
      <c r="F319" s="55" t="s">
        <v>1284</v>
      </c>
      <c r="G319" s="5">
        <f>IF(Estimation!$B$18="",0,IF(ISNUMBER(SEARCH(LOWER(Estimation!$B$18),F319)),1,0))</f>
        <v>0</v>
      </c>
      <c r="H319" s="5" t="str">
        <f>IF(G319=1,SUM($G$4:G319),"")</f>
        <v/>
      </c>
    </row>
    <row r="320" spans="1:8" x14ac:dyDescent="0.35">
      <c r="A320" s="56" t="s">
        <v>1271</v>
      </c>
      <c r="B320" s="56" t="s">
        <v>1285</v>
      </c>
      <c r="C320" s="56" t="s">
        <v>1286</v>
      </c>
      <c r="D320" s="39">
        <v>98</v>
      </c>
      <c r="E320" s="56" t="s">
        <v>1287</v>
      </c>
      <c r="F320" s="55" t="s">
        <v>1288</v>
      </c>
      <c r="G320" s="5">
        <f>IF(Estimation!$B$18="",0,IF(ISNUMBER(SEARCH(LOWER(Estimation!$B$18),F320)),1,0))</f>
        <v>0</v>
      </c>
      <c r="H320" s="5" t="str">
        <f>IF(G320=1,SUM($G$4:G320),"")</f>
        <v/>
      </c>
    </row>
    <row r="321" spans="1:8" x14ac:dyDescent="0.35">
      <c r="A321" s="56" t="s">
        <v>1271</v>
      </c>
      <c r="B321" s="56" t="s">
        <v>1289</v>
      </c>
      <c r="C321" s="56" t="s">
        <v>1290</v>
      </c>
      <c r="D321" s="39">
        <v>1294</v>
      </c>
      <c r="E321" s="56" t="s">
        <v>1291</v>
      </c>
      <c r="F321" s="55" t="s">
        <v>1292</v>
      </c>
      <c r="G321" s="5">
        <f>IF(Estimation!$B$18="",0,IF(ISNUMBER(SEARCH(LOWER(Estimation!$B$18),F321)),1,0))</f>
        <v>0</v>
      </c>
      <c r="H321" s="5" t="str">
        <f>IF(G321=1,SUM($G$4:G321),"")</f>
        <v/>
      </c>
    </row>
    <row r="322" spans="1:8" x14ac:dyDescent="0.35">
      <c r="A322" s="56" t="s">
        <v>1271</v>
      </c>
      <c r="B322" s="56" t="s">
        <v>1293</v>
      </c>
      <c r="C322" s="56" t="s">
        <v>1294</v>
      </c>
      <c r="D322" s="39">
        <v>513.34</v>
      </c>
      <c r="E322" s="56" t="s">
        <v>1295</v>
      </c>
      <c r="F322" s="55" t="s">
        <v>1296</v>
      </c>
      <c r="G322" s="5">
        <f>IF(Estimation!$B$18="",0,IF(ISNUMBER(SEARCH(LOWER(Estimation!$B$18),F322)),1,0))</f>
        <v>0</v>
      </c>
      <c r="H322" s="5" t="str">
        <f>IF(G322=1,SUM($G$4:G322),"")</f>
        <v/>
      </c>
    </row>
    <row r="323" spans="1:8" x14ac:dyDescent="0.35">
      <c r="A323" s="56" t="s">
        <v>1271</v>
      </c>
      <c r="B323" s="56" t="s">
        <v>1297</v>
      </c>
      <c r="C323" s="56" t="s">
        <v>1298</v>
      </c>
      <c r="D323" s="39">
        <v>2060.23</v>
      </c>
      <c r="E323" s="56" t="s">
        <v>1299</v>
      </c>
      <c r="F323" s="55" t="s">
        <v>1300</v>
      </c>
      <c r="G323" s="5">
        <f>IF(Estimation!$B$18="",0,IF(ISNUMBER(SEARCH(LOWER(Estimation!$B$18),F323)),1,0))</f>
        <v>0</v>
      </c>
      <c r="H323" s="5" t="str">
        <f>IF(G323=1,SUM($G$4:G323),"")</f>
        <v/>
      </c>
    </row>
    <row r="324" spans="1:8" x14ac:dyDescent="0.35">
      <c r="A324" s="56" t="s">
        <v>1271</v>
      </c>
      <c r="B324" s="56" t="s">
        <v>1301</v>
      </c>
      <c r="C324" s="56" t="s">
        <v>1302</v>
      </c>
      <c r="D324" s="39">
        <v>8994</v>
      </c>
      <c r="E324" s="56" t="s">
        <v>1303</v>
      </c>
      <c r="F324" s="55" t="s">
        <v>1304</v>
      </c>
      <c r="G324" s="5">
        <f>IF(Estimation!$B$18="",0,IF(ISNUMBER(SEARCH(LOWER(Estimation!$B$18),F324)),1,0))</f>
        <v>0</v>
      </c>
      <c r="H324" s="5" t="str">
        <f>IF(G324=1,SUM($G$4:G324),"")</f>
        <v/>
      </c>
    </row>
    <row r="325" spans="1:8" x14ac:dyDescent="0.35">
      <c r="A325" s="56" t="s">
        <v>1271</v>
      </c>
      <c r="B325" s="56" t="s">
        <v>1305</v>
      </c>
      <c r="C325" s="56" t="s">
        <v>1306</v>
      </c>
      <c r="D325" s="39">
        <v>9635</v>
      </c>
      <c r="E325" s="56" t="s">
        <v>1307</v>
      </c>
      <c r="F325" s="55" t="s">
        <v>1308</v>
      </c>
      <c r="G325" s="5">
        <f>IF(Estimation!$B$18="",0,IF(ISNUMBER(SEARCH(LOWER(Estimation!$B$18),F325)),1,0))</f>
        <v>0</v>
      </c>
      <c r="H325" s="5" t="str">
        <f>IF(G325=1,SUM($G$4:G325),"")</f>
        <v/>
      </c>
    </row>
    <row r="326" spans="1:8" x14ac:dyDescent="0.35">
      <c r="A326" s="56" t="s">
        <v>1271</v>
      </c>
      <c r="B326" s="56" t="s">
        <v>1309</v>
      </c>
      <c r="C326" s="56" t="s">
        <v>1310</v>
      </c>
      <c r="D326" s="39">
        <v>16.75</v>
      </c>
      <c r="E326" s="56" t="s">
        <v>1311</v>
      </c>
      <c r="F326" s="55" t="s">
        <v>1312</v>
      </c>
      <c r="G326" s="5">
        <f>IF(Estimation!$B$18="",0,IF(ISNUMBER(SEARCH(LOWER(Estimation!$B$18),F326)),1,0))</f>
        <v>0</v>
      </c>
      <c r="H326" s="5" t="str">
        <f>IF(G326=1,SUM($G$4:G326),"")</f>
        <v/>
      </c>
    </row>
    <row r="327" spans="1:8" x14ac:dyDescent="0.35">
      <c r="A327" s="56" t="s">
        <v>1271</v>
      </c>
      <c r="B327" s="56" t="s">
        <v>1313</v>
      </c>
      <c r="C327" s="56" t="s">
        <v>1314</v>
      </c>
      <c r="D327" s="39">
        <v>17.91</v>
      </c>
      <c r="E327" s="56" t="s">
        <v>1315</v>
      </c>
      <c r="F327" s="55" t="s">
        <v>1316</v>
      </c>
      <c r="G327" s="5">
        <f>IF(Estimation!$B$18="",0,IF(ISNUMBER(SEARCH(LOWER(Estimation!$B$18),F327)),1,0))</f>
        <v>0</v>
      </c>
      <c r="H327" s="5" t="str">
        <f>IF(G327=1,SUM($G$4:G327),"")</f>
        <v/>
      </c>
    </row>
    <row r="328" spans="1:8" x14ac:dyDescent="0.35">
      <c r="A328" s="56" t="s">
        <v>1271</v>
      </c>
      <c r="B328" s="56" t="s">
        <v>1317</v>
      </c>
      <c r="C328" s="56" t="s">
        <v>1318</v>
      </c>
      <c r="D328" s="39">
        <v>20.52</v>
      </c>
      <c r="E328" s="56" t="s">
        <v>1319</v>
      </c>
      <c r="F328" s="55" t="s">
        <v>1320</v>
      </c>
      <c r="G328" s="5">
        <f>IF(Estimation!$B$18="",0,IF(ISNUMBER(SEARCH(LOWER(Estimation!$B$18),F328)),1,0))</f>
        <v>0</v>
      </c>
      <c r="H328" s="5" t="str">
        <f>IF(G328=1,SUM($G$4:G328),"")</f>
        <v/>
      </c>
    </row>
    <row r="329" spans="1:8" x14ac:dyDescent="0.35">
      <c r="A329" s="56" t="s">
        <v>1271</v>
      </c>
      <c r="B329" s="56" t="s">
        <v>1321</v>
      </c>
      <c r="C329" s="56" t="s">
        <v>1322</v>
      </c>
      <c r="D329" s="39">
        <v>17.63</v>
      </c>
      <c r="E329" s="56" t="s">
        <v>1323</v>
      </c>
      <c r="F329" s="55" t="s">
        <v>1324</v>
      </c>
      <c r="G329" s="5">
        <f>IF(Estimation!$B$18="",0,IF(ISNUMBER(SEARCH(LOWER(Estimation!$B$18),F329)),1,0))</f>
        <v>0</v>
      </c>
      <c r="H329" s="5" t="str">
        <f>IF(G329=1,SUM($G$4:G329),"")</f>
        <v/>
      </c>
    </row>
    <row r="330" spans="1:8" x14ac:dyDescent="0.35">
      <c r="A330" s="56" t="s">
        <v>1271</v>
      </c>
      <c r="B330" s="56" t="s">
        <v>1325</v>
      </c>
      <c r="C330" s="56" t="s">
        <v>1326</v>
      </c>
      <c r="D330" s="39">
        <v>28.03</v>
      </c>
      <c r="E330" s="56" t="s">
        <v>1327</v>
      </c>
      <c r="F330" s="55" t="s">
        <v>1328</v>
      </c>
      <c r="G330" s="5">
        <f>IF(Estimation!$B$18="",0,IF(ISNUMBER(SEARCH(LOWER(Estimation!$B$18),F330)),1,0))</f>
        <v>0</v>
      </c>
      <c r="H330" s="5" t="str">
        <f>IF(G330=1,SUM($G$4:G330),"")</f>
        <v/>
      </c>
    </row>
    <row r="331" spans="1:8" x14ac:dyDescent="0.35">
      <c r="A331" s="56" t="s">
        <v>1271</v>
      </c>
      <c r="B331" s="56" t="s">
        <v>1329</v>
      </c>
      <c r="C331" s="56" t="s">
        <v>1330</v>
      </c>
      <c r="D331" s="39">
        <v>40.6</v>
      </c>
      <c r="E331" s="56" t="s">
        <v>1331</v>
      </c>
      <c r="F331" s="55" t="s">
        <v>1332</v>
      </c>
      <c r="G331" s="5">
        <f>IF(Estimation!$B$18="",0,IF(ISNUMBER(SEARCH(LOWER(Estimation!$B$18),F331)),1,0))</f>
        <v>0</v>
      </c>
      <c r="H331" s="5" t="str">
        <f>IF(G331=1,SUM($G$4:G331),"")</f>
        <v/>
      </c>
    </row>
    <row r="332" spans="1:8" x14ac:dyDescent="0.35">
      <c r="A332" s="56" t="s">
        <v>1271</v>
      </c>
      <c r="B332" s="56" t="s">
        <v>1333</v>
      </c>
      <c r="C332" s="56" t="s">
        <v>1334</v>
      </c>
      <c r="D332" s="39">
        <v>49.08</v>
      </c>
      <c r="E332" s="56" t="s">
        <v>1335</v>
      </c>
      <c r="F332" s="55" t="s">
        <v>1336</v>
      </c>
      <c r="G332" s="5">
        <f>IF(Estimation!$B$18="",0,IF(ISNUMBER(SEARCH(LOWER(Estimation!$B$18),F332)),1,0))</f>
        <v>0</v>
      </c>
      <c r="H332" s="5" t="str">
        <f>IF(G332=1,SUM($G$4:G332),"")</f>
        <v/>
      </c>
    </row>
    <row r="333" spans="1:8" x14ac:dyDescent="0.35">
      <c r="A333" s="56" t="s">
        <v>1271</v>
      </c>
      <c r="B333" s="56" t="s">
        <v>1337</v>
      </c>
      <c r="C333" s="56" t="s">
        <v>1338</v>
      </c>
      <c r="D333" s="39">
        <v>55.78</v>
      </c>
      <c r="E333" s="56" t="s">
        <v>1339</v>
      </c>
      <c r="F333" s="55" t="s">
        <v>1340</v>
      </c>
      <c r="G333" s="5">
        <f>IF(Estimation!$B$18="",0,IF(ISNUMBER(SEARCH(LOWER(Estimation!$B$18),F333)),1,0))</f>
        <v>0</v>
      </c>
      <c r="H333" s="5" t="str">
        <f>IF(G333=1,SUM($G$4:G333),"")</f>
        <v/>
      </c>
    </row>
    <row r="334" spans="1:8" x14ac:dyDescent="0.35">
      <c r="A334" s="56" t="s">
        <v>1271</v>
      </c>
      <c r="B334" s="56" t="s">
        <v>1341</v>
      </c>
      <c r="C334" s="56" t="s">
        <v>1342</v>
      </c>
      <c r="D334" s="39">
        <v>83.15</v>
      </c>
      <c r="E334" s="56" t="s">
        <v>1343</v>
      </c>
      <c r="F334" s="55" t="s">
        <v>1344</v>
      </c>
      <c r="G334" s="5">
        <f>IF(Estimation!$B$18="",0,IF(ISNUMBER(SEARCH(LOWER(Estimation!$B$18),F334)),1,0))</f>
        <v>0</v>
      </c>
      <c r="H334" s="5" t="str">
        <f>IF(G334=1,SUM($G$4:G334),"")</f>
        <v/>
      </c>
    </row>
    <row r="335" spans="1:8" x14ac:dyDescent="0.35">
      <c r="A335" s="56" t="s">
        <v>1271</v>
      </c>
      <c r="B335" s="56" t="s">
        <v>1345</v>
      </c>
      <c r="C335" s="56" t="s">
        <v>1346</v>
      </c>
      <c r="D335" s="39">
        <v>116.22</v>
      </c>
      <c r="E335" s="56" t="s">
        <v>1347</v>
      </c>
      <c r="F335" s="55" t="s">
        <v>1348</v>
      </c>
      <c r="G335" s="5">
        <f>IF(Estimation!$B$18="",0,IF(ISNUMBER(SEARCH(LOWER(Estimation!$B$18),F335)),1,0))</f>
        <v>0</v>
      </c>
      <c r="H335" s="5" t="str">
        <f>IF(G335=1,SUM($G$4:G335),"")</f>
        <v/>
      </c>
    </row>
    <row r="336" spans="1:8" x14ac:dyDescent="0.35">
      <c r="A336" s="56" t="s">
        <v>1271</v>
      </c>
      <c r="B336" s="56" t="s">
        <v>1349</v>
      </c>
      <c r="C336" s="56" t="s">
        <v>1350</v>
      </c>
      <c r="D336" s="39">
        <v>121.94</v>
      </c>
      <c r="E336" s="56" t="s">
        <v>1351</v>
      </c>
      <c r="F336" s="55" t="s">
        <v>1352</v>
      </c>
      <c r="G336" s="5">
        <f>IF(Estimation!$B$18="",0,IF(ISNUMBER(SEARCH(LOWER(Estimation!$B$18),F336)),1,0))</f>
        <v>0</v>
      </c>
      <c r="H336" s="5" t="str">
        <f>IF(G336=1,SUM($G$4:G336),"")</f>
        <v/>
      </c>
    </row>
    <row r="337" spans="1:8" x14ac:dyDescent="0.35">
      <c r="A337" s="56" t="s">
        <v>1271</v>
      </c>
      <c r="B337" s="56" t="s">
        <v>1353</v>
      </c>
      <c r="C337" s="56" t="s">
        <v>1354</v>
      </c>
      <c r="D337" s="39">
        <v>136.57</v>
      </c>
      <c r="E337" s="56" t="s">
        <v>1355</v>
      </c>
      <c r="F337" s="55" t="s">
        <v>1356</v>
      </c>
      <c r="G337" s="5">
        <f>IF(Estimation!$B$18="",0,IF(ISNUMBER(SEARCH(LOWER(Estimation!$B$18),F337)),1,0))</f>
        <v>0</v>
      </c>
      <c r="H337" s="5" t="str">
        <f>IF(G337=1,SUM($G$4:G337),"")</f>
        <v/>
      </c>
    </row>
    <row r="338" spans="1:8" x14ac:dyDescent="0.35">
      <c r="A338" s="56" t="s">
        <v>1271</v>
      </c>
      <c r="B338" s="56" t="s">
        <v>1357</v>
      </c>
      <c r="C338" s="56" t="s">
        <v>1358</v>
      </c>
      <c r="D338" s="39">
        <v>191.64</v>
      </c>
      <c r="E338" s="56" t="s">
        <v>1359</v>
      </c>
      <c r="F338" s="55" t="s">
        <v>1360</v>
      </c>
      <c r="G338" s="5">
        <f>IF(Estimation!$B$18="",0,IF(ISNUMBER(SEARCH(LOWER(Estimation!$B$18),F338)),1,0))</f>
        <v>0</v>
      </c>
      <c r="H338" s="5" t="str">
        <f>IF(G338=1,SUM($G$4:G338),"")</f>
        <v/>
      </c>
    </row>
    <row r="339" spans="1:8" x14ac:dyDescent="0.35">
      <c r="A339" s="56" t="s">
        <v>1271</v>
      </c>
      <c r="B339" s="56" t="s">
        <v>1361</v>
      </c>
      <c r="C339" s="56" t="s">
        <v>1362</v>
      </c>
      <c r="D339" s="39">
        <v>203.04</v>
      </c>
      <c r="E339" s="56" t="s">
        <v>1363</v>
      </c>
      <c r="F339" s="55" t="s">
        <v>1364</v>
      </c>
      <c r="G339" s="5">
        <f>IF(Estimation!$B$18="",0,IF(ISNUMBER(SEARCH(LOWER(Estimation!$B$18),F339)),1,0))</f>
        <v>0</v>
      </c>
      <c r="H339" s="5" t="str">
        <f>IF(G339=1,SUM($G$4:G339),"")</f>
        <v/>
      </c>
    </row>
    <row r="340" spans="1:8" x14ac:dyDescent="0.35">
      <c r="A340" s="56" t="s">
        <v>1271</v>
      </c>
      <c r="B340" s="56" t="s">
        <v>1365</v>
      </c>
      <c r="C340" s="56" t="s">
        <v>1366</v>
      </c>
      <c r="D340" s="39">
        <v>230.74</v>
      </c>
      <c r="E340" s="56" t="s">
        <v>1367</v>
      </c>
      <c r="F340" s="55" t="s">
        <v>1368</v>
      </c>
      <c r="G340" s="5">
        <f>IF(Estimation!$B$18="",0,IF(ISNUMBER(SEARCH(LOWER(Estimation!$B$18),F340)),1,0))</f>
        <v>0</v>
      </c>
      <c r="H340" s="5" t="str">
        <f>IF(G340=1,SUM($G$4:G340),"")</f>
        <v/>
      </c>
    </row>
    <row r="341" spans="1:8" x14ac:dyDescent="0.35">
      <c r="A341" s="56" t="s">
        <v>1271</v>
      </c>
      <c r="B341" s="56" t="s">
        <v>1369</v>
      </c>
      <c r="C341" s="56" t="s">
        <v>1370</v>
      </c>
      <c r="D341" s="39">
        <v>272.14999999999998</v>
      </c>
      <c r="E341" s="56" t="s">
        <v>1371</v>
      </c>
      <c r="F341" s="55" t="s">
        <v>1372</v>
      </c>
      <c r="G341" s="5">
        <f>IF(Estimation!$B$18="",0,IF(ISNUMBER(SEARCH(LOWER(Estimation!$B$18),F341)),1,0))</f>
        <v>0</v>
      </c>
      <c r="H341" s="5" t="str">
        <f>IF(G341=1,SUM($G$4:G341),"")</f>
        <v/>
      </c>
    </row>
    <row r="342" spans="1:8" x14ac:dyDescent="0.35">
      <c r="A342" s="56" t="s">
        <v>1271</v>
      </c>
      <c r="B342" s="56" t="s">
        <v>1373</v>
      </c>
      <c r="C342" s="56" t="s">
        <v>1374</v>
      </c>
      <c r="D342" s="39">
        <v>279.83999999999997</v>
      </c>
      <c r="E342" s="56" t="s">
        <v>1375</v>
      </c>
      <c r="F342" s="55" t="s">
        <v>1376</v>
      </c>
      <c r="G342" s="5">
        <f>IF(Estimation!$B$18="",0,IF(ISNUMBER(SEARCH(LOWER(Estimation!$B$18),F342)),1,0))</f>
        <v>0</v>
      </c>
      <c r="H342" s="5" t="str">
        <f>IF(G342=1,SUM($G$4:G342),"")</f>
        <v/>
      </c>
    </row>
    <row r="343" spans="1:8" x14ac:dyDescent="0.35">
      <c r="A343" s="56" t="s">
        <v>1271</v>
      </c>
      <c r="B343" s="56" t="s">
        <v>1377</v>
      </c>
      <c r="C343" s="56" t="s">
        <v>1378</v>
      </c>
      <c r="D343" s="39">
        <v>345.99</v>
      </c>
      <c r="E343" s="56" t="s">
        <v>1379</v>
      </c>
      <c r="F343" s="55" t="s">
        <v>1380</v>
      </c>
      <c r="G343" s="5">
        <f>IF(Estimation!$B$18="",0,IF(ISNUMBER(SEARCH(LOWER(Estimation!$B$18),F343)),1,0))</f>
        <v>0</v>
      </c>
      <c r="H343" s="5" t="str">
        <f>IF(G343=1,SUM($G$4:G343),"")</f>
        <v/>
      </c>
    </row>
    <row r="344" spans="1:8" x14ac:dyDescent="0.35">
      <c r="A344" s="56" t="s">
        <v>1271</v>
      </c>
      <c r="B344" s="56" t="s">
        <v>1381</v>
      </c>
      <c r="C344" s="56" t="s">
        <v>1382</v>
      </c>
      <c r="D344" s="39">
        <v>408.9</v>
      </c>
      <c r="E344" s="56" t="s">
        <v>1383</v>
      </c>
      <c r="F344" s="55" t="s">
        <v>1384</v>
      </c>
      <c r="G344" s="5">
        <f>IF(Estimation!$B$18="",0,IF(ISNUMBER(SEARCH(LOWER(Estimation!$B$18),F344)),1,0))</f>
        <v>0</v>
      </c>
      <c r="H344" s="5" t="str">
        <f>IF(G344=1,SUM($G$4:G344),"")</f>
        <v/>
      </c>
    </row>
    <row r="345" spans="1:8" x14ac:dyDescent="0.35">
      <c r="A345" s="56" t="s">
        <v>1271</v>
      </c>
      <c r="B345" s="56" t="s">
        <v>1385</v>
      </c>
      <c r="C345" s="56" t="s">
        <v>1386</v>
      </c>
      <c r="D345" s="39">
        <v>596.48</v>
      </c>
      <c r="E345" s="56" t="s">
        <v>1387</v>
      </c>
      <c r="F345" s="55" t="s">
        <v>1388</v>
      </c>
      <c r="G345" s="5">
        <f>IF(Estimation!$B$18="",0,IF(ISNUMBER(SEARCH(LOWER(Estimation!$B$18),F345)),1,0))</f>
        <v>0</v>
      </c>
      <c r="H345" s="5" t="str">
        <f>IF(G345=1,SUM($G$4:G345),"")</f>
        <v/>
      </c>
    </row>
    <row r="346" spans="1:8" x14ac:dyDescent="0.35">
      <c r="A346" s="56" t="s">
        <v>1271</v>
      </c>
      <c r="B346" s="56" t="s">
        <v>1389</v>
      </c>
      <c r="C346" s="56" t="s">
        <v>1390</v>
      </c>
      <c r="D346" s="39">
        <v>650.26</v>
      </c>
      <c r="E346" s="56" t="s">
        <v>1391</v>
      </c>
      <c r="F346" s="55" t="s">
        <v>1392</v>
      </c>
      <c r="G346" s="5">
        <f>IF(Estimation!$B$18="",0,IF(ISNUMBER(SEARCH(LOWER(Estimation!$B$18),F346)),1,0))</f>
        <v>0</v>
      </c>
      <c r="H346" s="5" t="str">
        <f>IF(G346=1,SUM($G$4:G346),"")</f>
        <v/>
      </c>
    </row>
    <row r="347" spans="1:8" x14ac:dyDescent="0.35">
      <c r="A347" s="56" t="s">
        <v>1271</v>
      </c>
      <c r="B347" s="56" t="s">
        <v>1393</v>
      </c>
      <c r="C347" s="56" t="s">
        <v>1394</v>
      </c>
      <c r="D347" s="39">
        <v>692.92</v>
      </c>
      <c r="E347" s="56" t="s">
        <v>1395</v>
      </c>
      <c r="F347" s="55" t="s">
        <v>1396</v>
      </c>
      <c r="G347" s="5">
        <f>IF(Estimation!$B$18="",0,IF(ISNUMBER(SEARCH(LOWER(Estimation!$B$18),F347)),1,0))</f>
        <v>0</v>
      </c>
      <c r="H347" s="5" t="str">
        <f>IF(G347=1,SUM($G$4:G347),"")</f>
        <v/>
      </c>
    </row>
    <row r="348" spans="1:8" x14ac:dyDescent="0.35">
      <c r="A348" s="56" t="s">
        <v>1271</v>
      </c>
      <c r="B348" s="56" t="s">
        <v>1397</v>
      </c>
      <c r="C348" s="56" t="s">
        <v>1398</v>
      </c>
      <c r="D348" s="39">
        <v>90.66</v>
      </c>
      <c r="E348" s="56" t="s">
        <v>1399</v>
      </c>
      <c r="F348" s="55" t="s">
        <v>1400</v>
      </c>
      <c r="G348" s="5">
        <f>IF(Estimation!$B$18="",0,IF(ISNUMBER(SEARCH(LOWER(Estimation!$B$18),F348)),1,0))</f>
        <v>0</v>
      </c>
      <c r="H348" s="5" t="str">
        <f>IF(G348=1,SUM($G$4:G348),"")</f>
        <v/>
      </c>
    </row>
    <row r="349" spans="1:8" x14ac:dyDescent="0.35">
      <c r="A349" s="56" t="s">
        <v>1271</v>
      </c>
      <c r="B349" s="56" t="s">
        <v>1401</v>
      </c>
      <c r="C349" s="56" t="s">
        <v>1402</v>
      </c>
      <c r="D349" s="39">
        <v>119.21</v>
      </c>
      <c r="E349" s="56" t="s">
        <v>1403</v>
      </c>
      <c r="F349" s="55" t="s">
        <v>1404</v>
      </c>
      <c r="G349" s="5">
        <f>IF(Estimation!$B$18="",0,IF(ISNUMBER(SEARCH(LOWER(Estimation!$B$18),F349)),1,0))</f>
        <v>0</v>
      </c>
      <c r="H349" s="5" t="str">
        <f>IF(G349=1,SUM($G$4:G349),"")</f>
        <v/>
      </c>
    </row>
    <row r="350" spans="1:8" x14ac:dyDescent="0.35">
      <c r="A350" s="56" t="s">
        <v>1271</v>
      </c>
      <c r="B350" s="56" t="s">
        <v>1405</v>
      </c>
      <c r="C350" s="56" t="s">
        <v>1406</v>
      </c>
      <c r="D350" s="39">
        <v>133.43</v>
      </c>
      <c r="E350" s="56" t="s">
        <v>1407</v>
      </c>
      <c r="F350" s="55" t="s">
        <v>1408</v>
      </c>
      <c r="G350" s="5">
        <f>IF(Estimation!$B$18="",0,IF(ISNUMBER(SEARCH(LOWER(Estimation!$B$18),F350)),1,0))</f>
        <v>0</v>
      </c>
      <c r="H350" s="5" t="str">
        <f>IF(G350=1,SUM($G$4:G350),"")</f>
        <v/>
      </c>
    </row>
    <row r="351" spans="1:8" x14ac:dyDescent="0.35">
      <c r="A351" s="56" t="s">
        <v>1271</v>
      </c>
      <c r="B351" s="56" t="s">
        <v>1409</v>
      </c>
      <c r="C351" s="56" t="s">
        <v>1410</v>
      </c>
      <c r="D351" s="39">
        <v>199.1</v>
      </c>
      <c r="E351" s="56" t="s">
        <v>1411</v>
      </c>
      <c r="F351" s="55" t="s">
        <v>1412</v>
      </c>
      <c r="G351" s="5">
        <f>IF(Estimation!$B$18="",0,IF(ISNUMBER(SEARCH(LOWER(Estimation!$B$18),F351)),1,0))</f>
        <v>0</v>
      </c>
      <c r="H351" s="5" t="str">
        <f>IF(G351=1,SUM($G$4:G351),"")</f>
        <v/>
      </c>
    </row>
    <row r="352" spans="1:8" x14ac:dyDescent="0.35">
      <c r="A352" s="56" t="s">
        <v>1271</v>
      </c>
      <c r="B352" s="56" t="s">
        <v>1413</v>
      </c>
      <c r="C352" s="56" t="s">
        <v>1414</v>
      </c>
      <c r="D352" s="39">
        <v>236.25</v>
      </c>
      <c r="E352" s="56" t="s">
        <v>1415</v>
      </c>
      <c r="F352" s="55" t="s">
        <v>1416</v>
      </c>
      <c r="G352" s="5">
        <f>IF(Estimation!$B$18="",0,IF(ISNUMBER(SEARCH(LOWER(Estimation!$B$18),F352)),1,0))</f>
        <v>0</v>
      </c>
      <c r="H352" s="5" t="str">
        <f>IF(G352=1,SUM($G$4:G352),"")</f>
        <v/>
      </c>
    </row>
    <row r="353" spans="1:8" x14ac:dyDescent="0.35">
      <c r="A353" s="56" t="s">
        <v>1271</v>
      </c>
      <c r="B353" s="56" t="s">
        <v>1417</v>
      </c>
      <c r="C353" s="56" t="s">
        <v>1418</v>
      </c>
      <c r="D353" s="39">
        <v>262.58999999999997</v>
      </c>
      <c r="E353" s="56" t="s">
        <v>1419</v>
      </c>
      <c r="F353" s="55" t="s">
        <v>1420</v>
      </c>
      <c r="G353" s="5">
        <f>IF(Estimation!$B$18="",0,IF(ISNUMBER(SEARCH(LOWER(Estimation!$B$18),F353)),1,0))</f>
        <v>0</v>
      </c>
      <c r="H353" s="5" t="str">
        <f>IF(G353=1,SUM($G$4:G353),"")</f>
        <v/>
      </c>
    </row>
    <row r="354" spans="1:8" x14ac:dyDescent="0.35">
      <c r="A354" s="56" t="s">
        <v>1271</v>
      </c>
      <c r="B354" s="56" t="s">
        <v>1421</v>
      </c>
      <c r="C354" s="56" t="s">
        <v>1422</v>
      </c>
      <c r="D354" s="39">
        <v>293.39</v>
      </c>
      <c r="E354" s="56" t="s">
        <v>1423</v>
      </c>
      <c r="F354" s="55" t="s">
        <v>1424</v>
      </c>
      <c r="G354" s="5">
        <f>IF(Estimation!$B$18="",0,IF(ISNUMBER(SEARCH(LOWER(Estimation!$B$18),F354)),1,0))</f>
        <v>0</v>
      </c>
      <c r="H354" s="5" t="str">
        <f>IF(G354=1,SUM($G$4:G354),"")</f>
        <v/>
      </c>
    </row>
    <row r="355" spans="1:8" x14ac:dyDescent="0.35">
      <c r="A355" s="56" t="s">
        <v>1271</v>
      </c>
      <c r="B355" s="56" t="s">
        <v>1425</v>
      </c>
      <c r="C355" s="56" t="s">
        <v>1426</v>
      </c>
      <c r="D355" s="39">
        <v>364</v>
      </c>
      <c r="E355" s="56" t="s">
        <v>1427</v>
      </c>
      <c r="F355" s="55" t="s">
        <v>1428</v>
      </c>
      <c r="G355" s="5">
        <f>IF(Estimation!$B$18="",0,IF(ISNUMBER(SEARCH(LOWER(Estimation!$B$18),F355)),1,0))</f>
        <v>0</v>
      </c>
      <c r="H355" s="5" t="str">
        <f>IF(G355=1,SUM($G$4:G355),"")</f>
        <v/>
      </c>
    </row>
    <row r="356" spans="1:8" x14ac:dyDescent="0.35">
      <c r="A356" s="56" t="s">
        <v>1271</v>
      </c>
      <c r="B356" s="56" t="s">
        <v>1429</v>
      </c>
      <c r="C356" s="56" t="s">
        <v>1430</v>
      </c>
      <c r="D356" s="39">
        <v>449.07</v>
      </c>
      <c r="E356" s="56" t="s">
        <v>1431</v>
      </c>
      <c r="F356" s="55" t="s">
        <v>1432</v>
      </c>
      <c r="G356" s="5">
        <f>IF(Estimation!$B$18="",0,IF(ISNUMBER(SEARCH(LOWER(Estimation!$B$18),F356)),1,0))</f>
        <v>0</v>
      </c>
      <c r="H356" s="5" t="str">
        <f>IF(G356=1,SUM($G$4:G356),"")</f>
        <v/>
      </c>
    </row>
    <row r="357" spans="1:8" x14ac:dyDescent="0.35">
      <c r="A357" s="56" t="s">
        <v>1271</v>
      </c>
      <c r="B357" s="56" t="s">
        <v>1433</v>
      </c>
      <c r="C357" s="56" t="s">
        <v>1434</v>
      </c>
      <c r="D357" s="39">
        <v>687.21</v>
      </c>
      <c r="E357" s="56" t="s">
        <v>1435</v>
      </c>
      <c r="F357" s="55" t="s">
        <v>1436</v>
      </c>
      <c r="G357" s="5">
        <f>IF(Estimation!$B$18="",0,IF(ISNUMBER(SEARCH(LOWER(Estimation!$B$18),F357)),1,0))</f>
        <v>0</v>
      </c>
      <c r="H357" s="5" t="str">
        <f>IF(G357=1,SUM($G$4:G357),"")</f>
        <v/>
      </c>
    </row>
    <row r="358" spans="1:8" x14ac:dyDescent="0.35">
      <c r="A358" s="56" t="s">
        <v>1271</v>
      </c>
      <c r="B358" s="56" t="s">
        <v>1437</v>
      </c>
      <c r="C358" s="56" t="s">
        <v>1438</v>
      </c>
      <c r="D358" s="39">
        <v>7.56</v>
      </c>
      <c r="E358" s="56" t="s">
        <v>1439</v>
      </c>
      <c r="F358" s="55" t="s">
        <v>1440</v>
      </c>
      <c r="G358" s="5">
        <f>IF(Estimation!$B$18="",0,IF(ISNUMBER(SEARCH(LOWER(Estimation!$B$18),F358)),1,0))</f>
        <v>0</v>
      </c>
      <c r="H358" s="5" t="str">
        <f>IF(G358=1,SUM($G$4:G358),"")</f>
        <v/>
      </c>
    </row>
    <row r="359" spans="1:8" x14ac:dyDescent="0.35">
      <c r="A359" s="56" t="s">
        <v>1271</v>
      </c>
      <c r="B359" s="56" t="s">
        <v>1441</v>
      </c>
      <c r="C359" s="56" t="s">
        <v>1442</v>
      </c>
      <c r="D359" s="39">
        <v>297</v>
      </c>
      <c r="E359" s="56" t="s">
        <v>1443</v>
      </c>
      <c r="F359" s="55" t="s">
        <v>1444</v>
      </c>
      <c r="G359" s="5">
        <f>IF(Estimation!$B$18="",0,IF(ISNUMBER(SEARCH(LOWER(Estimation!$B$18),F359)),1,0))</f>
        <v>0</v>
      </c>
      <c r="H359" s="5" t="str">
        <f>IF(G359=1,SUM($G$4:G359),"")</f>
        <v/>
      </c>
    </row>
    <row r="360" spans="1:8" x14ac:dyDescent="0.35">
      <c r="A360" s="56" t="s">
        <v>1271</v>
      </c>
      <c r="B360" s="56" t="s">
        <v>1445</v>
      </c>
      <c r="C360" s="56" t="s">
        <v>1446</v>
      </c>
      <c r="D360" s="39">
        <v>1148</v>
      </c>
      <c r="E360" s="56" t="s">
        <v>1447</v>
      </c>
      <c r="F360" s="55" t="s">
        <v>1448</v>
      </c>
      <c r="G360" s="5">
        <f>IF(Estimation!$B$18="",0,IF(ISNUMBER(SEARCH(LOWER(Estimation!$B$18),F360)),1,0))</f>
        <v>0</v>
      </c>
      <c r="H360" s="5" t="str">
        <f>IF(G360=1,SUM($G$4:G360),"")</f>
        <v/>
      </c>
    </row>
    <row r="361" spans="1:8" x14ac:dyDescent="0.35">
      <c r="A361" s="56" t="s">
        <v>1271</v>
      </c>
      <c r="B361" s="56" t="s">
        <v>1449</v>
      </c>
      <c r="C361" s="56" t="s">
        <v>1450</v>
      </c>
      <c r="D361" s="39">
        <v>146.02000000000001</v>
      </c>
      <c r="E361" s="56" t="s">
        <v>1451</v>
      </c>
      <c r="F361" s="55" t="s">
        <v>1452</v>
      </c>
      <c r="G361" s="5">
        <f>IF(Estimation!$B$18="",0,IF(ISNUMBER(SEARCH(LOWER(Estimation!$B$18),F361)),1,0))</f>
        <v>0</v>
      </c>
      <c r="H361" s="5" t="str">
        <f>IF(G361=1,SUM($G$4:G361),"")</f>
        <v/>
      </c>
    </row>
    <row r="362" spans="1:8" x14ac:dyDescent="0.35">
      <c r="A362" s="56" t="s">
        <v>1271</v>
      </c>
      <c r="B362" s="56" t="s">
        <v>1453</v>
      </c>
      <c r="C362" s="56" t="s">
        <v>1454</v>
      </c>
      <c r="D362" s="39">
        <v>146.02000000000001</v>
      </c>
      <c r="E362" s="56" t="s">
        <v>1455</v>
      </c>
      <c r="F362" s="55" t="s">
        <v>1456</v>
      </c>
      <c r="G362" s="5">
        <f>IF(Estimation!$B$18="",0,IF(ISNUMBER(SEARCH(LOWER(Estimation!$B$18),F362)),1,0))</f>
        <v>0</v>
      </c>
      <c r="H362" s="5" t="str">
        <f>IF(G362=1,SUM($G$4:G362),"")</f>
        <v/>
      </c>
    </row>
    <row r="363" spans="1:8" x14ac:dyDescent="0.35">
      <c r="A363" s="56" t="s">
        <v>1271</v>
      </c>
      <c r="B363" s="56" t="s">
        <v>1457</v>
      </c>
      <c r="C363" s="56" t="s">
        <v>1458</v>
      </c>
      <c r="D363" s="39">
        <v>146.02000000000001</v>
      </c>
      <c r="E363" s="56" t="s">
        <v>1459</v>
      </c>
      <c r="F363" s="55" t="s">
        <v>1460</v>
      </c>
      <c r="G363" s="5">
        <f>IF(Estimation!$B$18="",0,IF(ISNUMBER(SEARCH(LOWER(Estimation!$B$18),F363)),1,0))</f>
        <v>0</v>
      </c>
      <c r="H363" s="5" t="str">
        <f>IF(G363=1,SUM($G$4:G363),"")</f>
        <v/>
      </c>
    </row>
    <row r="364" spans="1:8" x14ac:dyDescent="0.35">
      <c r="A364" s="56" t="s">
        <v>1271</v>
      </c>
      <c r="B364" s="56" t="s">
        <v>1461</v>
      </c>
      <c r="C364" s="56" t="s">
        <v>1462</v>
      </c>
      <c r="D364" s="39">
        <v>675</v>
      </c>
      <c r="E364" s="56" t="s">
        <v>1463</v>
      </c>
      <c r="F364" s="55" t="s">
        <v>1464</v>
      </c>
      <c r="G364" s="5">
        <f>IF(Estimation!$B$18="",0,IF(ISNUMBER(SEARCH(LOWER(Estimation!$B$18),F364)),1,0))</f>
        <v>0</v>
      </c>
      <c r="H364" s="5" t="str">
        <f>IF(G364=1,SUM($G$4:G364),"")</f>
        <v/>
      </c>
    </row>
    <row r="365" spans="1:8" x14ac:dyDescent="0.35">
      <c r="A365" s="56" t="s">
        <v>1271</v>
      </c>
      <c r="B365" s="56" t="s">
        <v>1465</v>
      </c>
      <c r="C365" s="56" t="s">
        <v>1466</v>
      </c>
      <c r="D365" s="39">
        <v>865</v>
      </c>
      <c r="E365" s="56" t="s">
        <v>1467</v>
      </c>
      <c r="F365" s="55" t="s">
        <v>1468</v>
      </c>
      <c r="G365" s="5">
        <f>IF(Estimation!$B$18="",0,IF(ISNUMBER(SEARCH(LOWER(Estimation!$B$18),F365)),1,0))</f>
        <v>0</v>
      </c>
      <c r="H365" s="5" t="str">
        <f>IF(G365=1,SUM($G$4:G365),"")</f>
        <v/>
      </c>
    </row>
    <row r="366" spans="1:8" x14ac:dyDescent="0.35">
      <c r="A366" s="56" t="s">
        <v>1271</v>
      </c>
      <c r="B366" s="56" t="s">
        <v>1469</v>
      </c>
      <c r="C366" s="56" t="s">
        <v>1470</v>
      </c>
      <c r="D366" s="39">
        <v>1055</v>
      </c>
      <c r="E366" s="56" t="s">
        <v>1471</v>
      </c>
      <c r="F366" s="55" t="s">
        <v>1472</v>
      </c>
      <c r="G366" s="5">
        <f>IF(Estimation!$B$18="",0,IF(ISNUMBER(SEARCH(LOWER(Estimation!$B$18),F366)),1,0))</f>
        <v>0</v>
      </c>
      <c r="H366" s="5" t="str">
        <f>IF(G366=1,SUM($G$4:G366),"")</f>
        <v/>
      </c>
    </row>
    <row r="367" spans="1:8" x14ac:dyDescent="0.35">
      <c r="A367" s="56" t="s">
        <v>1271</v>
      </c>
      <c r="B367" s="56" t="s">
        <v>1473</v>
      </c>
      <c r="C367" s="56" t="s">
        <v>1474</v>
      </c>
      <c r="D367" s="39">
        <v>875</v>
      </c>
      <c r="E367" s="56" t="s">
        <v>1475</v>
      </c>
      <c r="F367" s="55" t="s">
        <v>1476</v>
      </c>
      <c r="G367" s="5">
        <f>IF(Estimation!$B$18="",0,IF(ISNUMBER(SEARCH(LOWER(Estimation!$B$18),F367)),1,0))</f>
        <v>0</v>
      </c>
      <c r="H367" s="5" t="str">
        <f>IF(G367=1,SUM($G$4:G367),"")</f>
        <v/>
      </c>
    </row>
    <row r="368" spans="1:8" x14ac:dyDescent="0.35">
      <c r="A368" s="56" t="s">
        <v>1271</v>
      </c>
      <c r="B368" s="56" t="s">
        <v>1477</v>
      </c>
      <c r="C368" s="56" t="s">
        <v>1478</v>
      </c>
      <c r="D368" s="39">
        <v>3.5</v>
      </c>
      <c r="E368" s="56" t="s">
        <v>1479</v>
      </c>
      <c r="F368" s="55" t="s">
        <v>1480</v>
      </c>
      <c r="G368" s="5">
        <f>IF(Estimation!$B$18="",0,IF(ISNUMBER(SEARCH(LOWER(Estimation!$B$18),F368)),1,0))</f>
        <v>0</v>
      </c>
      <c r="H368" s="5" t="str">
        <f>IF(G368=1,SUM($G$4:G368),"")</f>
        <v/>
      </c>
    </row>
    <row r="369" spans="1:8" x14ac:dyDescent="0.35">
      <c r="A369" s="56" t="s">
        <v>1271</v>
      </c>
      <c r="B369" s="56" t="s">
        <v>1481</v>
      </c>
      <c r="C369" s="56" t="s">
        <v>1482</v>
      </c>
      <c r="D369" s="39">
        <v>5.15</v>
      </c>
      <c r="E369" s="56" t="s">
        <v>1483</v>
      </c>
      <c r="F369" s="55" t="s">
        <v>1484</v>
      </c>
      <c r="G369" s="5">
        <f>IF(Estimation!$B$18="",0,IF(ISNUMBER(SEARCH(LOWER(Estimation!$B$18),F369)),1,0))</f>
        <v>0</v>
      </c>
      <c r="H369" s="5" t="str">
        <f>IF(G369=1,SUM($G$4:G369),"")</f>
        <v/>
      </c>
    </row>
    <row r="370" spans="1:8" x14ac:dyDescent="0.35">
      <c r="A370" s="56" t="s">
        <v>1271</v>
      </c>
      <c r="B370" s="56" t="s">
        <v>1485</v>
      </c>
      <c r="C370" s="56" t="s">
        <v>1486</v>
      </c>
      <c r="D370" s="39">
        <v>25.52</v>
      </c>
      <c r="E370" s="56" t="s">
        <v>1487</v>
      </c>
      <c r="F370" s="55" t="s">
        <v>1488</v>
      </c>
      <c r="G370" s="5">
        <f>IF(Estimation!$B$18="",0,IF(ISNUMBER(SEARCH(LOWER(Estimation!$B$18),F370)),1,0))</f>
        <v>0</v>
      </c>
      <c r="H370" s="5" t="str">
        <f>IF(G370=1,SUM($G$4:G370),"")</f>
        <v/>
      </c>
    </row>
    <row r="371" spans="1:8" x14ac:dyDescent="0.35">
      <c r="A371" s="56" t="s">
        <v>1271</v>
      </c>
      <c r="B371" s="56" t="s">
        <v>1489</v>
      </c>
      <c r="C371" s="56" t="s">
        <v>1490</v>
      </c>
      <c r="D371" s="39">
        <v>77.5</v>
      </c>
      <c r="E371" s="56" t="s">
        <v>1491</v>
      </c>
      <c r="F371" s="55" t="s">
        <v>1492</v>
      </c>
      <c r="G371" s="5">
        <f>IF(Estimation!$B$18="",0,IF(ISNUMBER(SEARCH(LOWER(Estimation!$B$18),F371)),1,0))</f>
        <v>0</v>
      </c>
      <c r="H371" s="5" t="str">
        <f>IF(G371=1,SUM($G$4:G371),"")</f>
        <v/>
      </c>
    </row>
    <row r="372" spans="1:8" x14ac:dyDescent="0.35">
      <c r="A372" s="56" t="s">
        <v>1271</v>
      </c>
      <c r="B372" s="56" t="s">
        <v>1493</v>
      </c>
      <c r="C372" s="56" t="s">
        <v>1494</v>
      </c>
      <c r="D372" s="39">
        <v>90.14</v>
      </c>
      <c r="E372" s="56" t="s">
        <v>1495</v>
      </c>
      <c r="F372" s="55" t="s">
        <v>1496</v>
      </c>
      <c r="G372" s="5">
        <f>IF(Estimation!$B$18="",0,IF(ISNUMBER(SEARCH(LOWER(Estimation!$B$18),F372)),1,0))</f>
        <v>0</v>
      </c>
      <c r="H372" s="5" t="str">
        <f>IF(G372=1,SUM($G$4:G372),"")</f>
        <v/>
      </c>
    </row>
    <row r="373" spans="1:8" x14ac:dyDescent="0.35">
      <c r="A373" s="56" t="s">
        <v>1271</v>
      </c>
      <c r="B373" s="56" t="s">
        <v>1497</v>
      </c>
      <c r="C373" s="56" t="s">
        <v>1498</v>
      </c>
      <c r="D373" s="39">
        <v>90.14</v>
      </c>
      <c r="E373" s="56" t="s">
        <v>1499</v>
      </c>
      <c r="F373" s="55" t="s">
        <v>1500</v>
      </c>
      <c r="G373" s="5">
        <f>IF(Estimation!$B$18="",0,IF(ISNUMBER(SEARCH(LOWER(Estimation!$B$18),F373)),1,0))</f>
        <v>0</v>
      </c>
      <c r="H373" s="5" t="str">
        <f>IF(G373=1,SUM($G$4:G373),"")</f>
        <v/>
      </c>
    </row>
    <row r="374" spans="1:8" x14ac:dyDescent="0.35">
      <c r="A374" s="56" t="s">
        <v>1271</v>
      </c>
      <c r="B374" s="56" t="s">
        <v>1501</v>
      </c>
      <c r="C374" s="56" t="s">
        <v>1502</v>
      </c>
      <c r="D374" s="39">
        <v>90.14</v>
      </c>
      <c r="E374" s="56" t="s">
        <v>1503</v>
      </c>
      <c r="F374" s="55" t="s">
        <v>1504</v>
      </c>
      <c r="G374" s="5">
        <f>IF(Estimation!$B$18="",0,IF(ISNUMBER(SEARCH(LOWER(Estimation!$B$18),F374)),1,0))</f>
        <v>0</v>
      </c>
      <c r="H374" s="5" t="str">
        <f>IF(G374=1,SUM($G$4:G374),"")</f>
        <v/>
      </c>
    </row>
    <row r="375" spans="1:8" x14ac:dyDescent="0.35">
      <c r="A375" s="56" t="s">
        <v>1271</v>
      </c>
      <c r="B375" s="56" t="s">
        <v>1505</v>
      </c>
      <c r="C375" s="56" t="s">
        <v>1506</v>
      </c>
      <c r="D375" s="39">
        <v>90.14</v>
      </c>
      <c r="E375" s="56" t="s">
        <v>1507</v>
      </c>
      <c r="F375" s="55" t="s">
        <v>1508</v>
      </c>
      <c r="G375" s="5">
        <f>IF(Estimation!$B$18="",0,IF(ISNUMBER(SEARCH(LOWER(Estimation!$B$18),F375)),1,0))</f>
        <v>0</v>
      </c>
      <c r="H375" s="5" t="str">
        <f>IF(G375=1,SUM($G$4:G375),"")</f>
        <v/>
      </c>
    </row>
    <row r="376" spans="1:8" x14ac:dyDescent="0.35">
      <c r="A376" s="56" t="s">
        <v>1271</v>
      </c>
      <c r="B376" s="56" t="s">
        <v>1509</v>
      </c>
      <c r="C376" s="56" t="s">
        <v>1510</v>
      </c>
      <c r="D376" s="39">
        <v>89.86</v>
      </c>
      <c r="E376" s="56" t="s">
        <v>1511</v>
      </c>
      <c r="F376" s="55" t="s">
        <v>1512</v>
      </c>
      <c r="G376" s="5">
        <f>IF(Estimation!$B$18="",0,IF(ISNUMBER(SEARCH(LOWER(Estimation!$B$18),F376)),1,0))</f>
        <v>0</v>
      </c>
      <c r="H376" s="5" t="str">
        <f>IF(G376=1,SUM($G$4:G376),"")</f>
        <v/>
      </c>
    </row>
    <row r="377" spans="1:8" x14ac:dyDescent="0.35">
      <c r="A377" s="56" t="s">
        <v>1271</v>
      </c>
      <c r="B377" s="56" t="s">
        <v>1513</v>
      </c>
      <c r="C377" s="56" t="s">
        <v>1514</v>
      </c>
      <c r="D377" s="39">
        <v>90.14</v>
      </c>
      <c r="E377" s="56" t="s">
        <v>1515</v>
      </c>
      <c r="F377" s="55" t="s">
        <v>1516</v>
      </c>
      <c r="G377" s="5">
        <f>IF(Estimation!$B$18="",0,IF(ISNUMBER(SEARCH(LOWER(Estimation!$B$18),F377)),1,0))</f>
        <v>0</v>
      </c>
      <c r="H377" s="5" t="str">
        <f>IF(G377=1,SUM($G$4:G377),"")</f>
        <v/>
      </c>
    </row>
    <row r="378" spans="1:8" x14ac:dyDescent="0.35">
      <c r="A378" s="56" t="s">
        <v>1271</v>
      </c>
      <c r="B378" s="56" t="s">
        <v>1517</v>
      </c>
      <c r="C378" s="56" t="s">
        <v>1518</v>
      </c>
      <c r="D378" s="39">
        <v>86.67</v>
      </c>
      <c r="E378" s="56" t="s">
        <v>1519</v>
      </c>
      <c r="F378" s="55" t="s">
        <v>1520</v>
      </c>
      <c r="G378" s="5">
        <f>IF(Estimation!$B$18="",0,IF(ISNUMBER(SEARCH(LOWER(Estimation!$B$18),F378)),1,0))</f>
        <v>0</v>
      </c>
      <c r="H378" s="5" t="str">
        <f>IF(G378=1,SUM($G$4:G378),"")</f>
        <v/>
      </c>
    </row>
    <row r="379" spans="1:8" x14ac:dyDescent="0.35">
      <c r="A379" s="56" t="s">
        <v>1271</v>
      </c>
      <c r="B379" s="56" t="s">
        <v>1521</v>
      </c>
      <c r="C379" s="56" t="s">
        <v>1522</v>
      </c>
      <c r="D379" s="39">
        <v>86.67</v>
      </c>
      <c r="E379" s="56" t="s">
        <v>1523</v>
      </c>
      <c r="F379" s="55" t="s">
        <v>1524</v>
      </c>
      <c r="G379" s="5">
        <f>IF(Estimation!$B$18="",0,IF(ISNUMBER(SEARCH(LOWER(Estimation!$B$18),F379)),1,0))</f>
        <v>0</v>
      </c>
      <c r="H379" s="5" t="str">
        <f>IF(G379=1,SUM($G$4:G379),"")</f>
        <v/>
      </c>
    </row>
    <row r="380" spans="1:8" x14ac:dyDescent="0.35">
      <c r="A380" s="56" t="s">
        <v>1271</v>
      </c>
      <c r="B380" s="56" t="s">
        <v>1525</v>
      </c>
      <c r="C380" s="56" t="s">
        <v>1526</v>
      </c>
      <c r="D380" s="39">
        <v>92.45</v>
      </c>
      <c r="E380" s="56" t="s">
        <v>1527</v>
      </c>
      <c r="F380" s="55" t="s">
        <v>1528</v>
      </c>
      <c r="G380" s="5">
        <f>IF(Estimation!$B$18="",0,IF(ISNUMBER(SEARCH(LOWER(Estimation!$B$18),F380)),1,0))</f>
        <v>0</v>
      </c>
      <c r="H380" s="5" t="str">
        <f>IF(G380=1,SUM($G$4:G380),"")</f>
        <v/>
      </c>
    </row>
    <row r="381" spans="1:8" x14ac:dyDescent="0.35">
      <c r="A381" s="56" t="s">
        <v>1271</v>
      </c>
      <c r="B381" s="56" t="s">
        <v>1529</v>
      </c>
      <c r="C381" s="56" t="s">
        <v>1530</v>
      </c>
      <c r="D381" s="39">
        <v>175</v>
      </c>
      <c r="E381" s="56" t="s">
        <v>1531</v>
      </c>
      <c r="F381" s="55" t="s">
        <v>1532</v>
      </c>
      <c r="G381" s="5">
        <f>IF(Estimation!$B$18="",0,IF(ISNUMBER(SEARCH(LOWER(Estimation!$B$18),F381)),1,0))</f>
        <v>0</v>
      </c>
      <c r="H381" s="5" t="str">
        <f>IF(G381=1,SUM($G$4:G381),"")</f>
        <v/>
      </c>
    </row>
    <row r="382" spans="1:8" x14ac:dyDescent="0.35">
      <c r="A382" s="56" t="s">
        <v>1271</v>
      </c>
      <c r="B382" s="56" t="s">
        <v>1533</v>
      </c>
      <c r="C382" s="56" t="s">
        <v>1534</v>
      </c>
      <c r="D382" s="39">
        <v>10.98</v>
      </c>
      <c r="E382" s="56" t="s">
        <v>1535</v>
      </c>
      <c r="F382" s="55" t="s">
        <v>1536</v>
      </c>
      <c r="G382" s="5">
        <f>IF(Estimation!$B$18="",0,IF(ISNUMBER(SEARCH(LOWER(Estimation!$B$18),F382)),1,0))</f>
        <v>0</v>
      </c>
      <c r="H382" s="5" t="str">
        <f>IF(G382=1,SUM($G$4:G382),"")</f>
        <v/>
      </c>
    </row>
    <row r="383" spans="1:8" x14ac:dyDescent="0.35">
      <c r="A383" s="56" t="s">
        <v>1271</v>
      </c>
      <c r="B383" s="56" t="s">
        <v>1537</v>
      </c>
      <c r="C383" s="56" t="s">
        <v>1538</v>
      </c>
      <c r="D383" s="39">
        <v>9.24</v>
      </c>
      <c r="E383" s="56" t="s">
        <v>1539</v>
      </c>
      <c r="F383" s="55" t="s">
        <v>1540</v>
      </c>
      <c r="G383" s="5">
        <f>IF(Estimation!$B$18="",0,IF(ISNUMBER(SEARCH(LOWER(Estimation!$B$18),F383)),1,0))</f>
        <v>0</v>
      </c>
      <c r="H383" s="5" t="str">
        <f>IF(G383=1,SUM($G$4:G383),"")</f>
        <v/>
      </c>
    </row>
    <row r="384" spans="1:8" x14ac:dyDescent="0.35">
      <c r="A384" s="56" t="s">
        <v>1271</v>
      </c>
      <c r="B384" s="56" t="s">
        <v>1541</v>
      </c>
      <c r="C384" s="56" t="s">
        <v>1542</v>
      </c>
      <c r="D384" s="39">
        <v>243.58</v>
      </c>
      <c r="E384" s="56" t="s">
        <v>1543</v>
      </c>
      <c r="F384" s="55" t="s">
        <v>1544</v>
      </c>
      <c r="G384" s="5">
        <f>IF(Estimation!$B$18="",0,IF(ISNUMBER(SEARCH(LOWER(Estimation!$B$18),F384)),1,0))</f>
        <v>0</v>
      </c>
      <c r="H384" s="5" t="str">
        <f>IF(G384=1,SUM($G$4:G384),"")</f>
        <v/>
      </c>
    </row>
    <row r="385" spans="1:8" x14ac:dyDescent="0.35">
      <c r="A385" s="56" t="s">
        <v>1271</v>
      </c>
      <c r="B385" s="56" t="s">
        <v>1545</v>
      </c>
      <c r="C385" s="56" t="s">
        <v>1546</v>
      </c>
      <c r="D385" s="39">
        <v>106.7</v>
      </c>
      <c r="E385" s="56" t="s">
        <v>1547</v>
      </c>
      <c r="F385" s="55" t="s">
        <v>1548</v>
      </c>
      <c r="G385" s="5">
        <f>IF(Estimation!$B$18="",0,IF(ISNUMBER(SEARCH(LOWER(Estimation!$B$18),F385)),1,0))</f>
        <v>0</v>
      </c>
      <c r="H385" s="5" t="str">
        <f>IF(G385=1,SUM($G$4:G385),"")</f>
        <v/>
      </c>
    </row>
    <row r="386" spans="1:8" x14ac:dyDescent="0.35">
      <c r="A386" s="56" t="s">
        <v>1271</v>
      </c>
      <c r="B386" s="56" t="s">
        <v>1549</v>
      </c>
      <c r="C386" s="56" t="s">
        <v>1550</v>
      </c>
      <c r="D386" s="39">
        <v>106.7</v>
      </c>
      <c r="E386" s="56" t="s">
        <v>1551</v>
      </c>
      <c r="F386" s="55" t="s">
        <v>1552</v>
      </c>
      <c r="G386" s="5">
        <f>IF(Estimation!$B$18="",0,IF(ISNUMBER(SEARCH(LOWER(Estimation!$B$18),F386)),1,0))</f>
        <v>0</v>
      </c>
      <c r="H386" s="5" t="str">
        <f>IF(G386=1,SUM($G$4:G386),"")</f>
        <v/>
      </c>
    </row>
    <row r="387" spans="1:8" x14ac:dyDescent="0.35">
      <c r="A387" s="56" t="s">
        <v>1271</v>
      </c>
      <c r="B387" s="56" t="s">
        <v>1553</v>
      </c>
      <c r="C387" s="56" t="s">
        <v>1554</v>
      </c>
      <c r="D387" s="39">
        <v>71.81</v>
      </c>
      <c r="E387" s="56" t="s">
        <v>1555</v>
      </c>
      <c r="F387" s="55" t="s">
        <v>1556</v>
      </c>
      <c r="G387" s="5">
        <f>IF(Estimation!$B$18="",0,IF(ISNUMBER(SEARCH(LOWER(Estimation!$B$18),F387)),1,0))</f>
        <v>0</v>
      </c>
      <c r="H387" s="5" t="str">
        <f>IF(G387=1,SUM($G$4:G387),"")</f>
        <v/>
      </c>
    </row>
    <row r="388" spans="1:8" x14ac:dyDescent="0.35">
      <c r="A388" s="56" t="s">
        <v>1271</v>
      </c>
      <c r="B388" s="56" t="s">
        <v>1557</v>
      </c>
      <c r="C388" s="56" t="s">
        <v>1558</v>
      </c>
      <c r="D388" s="39">
        <v>94.08</v>
      </c>
      <c r="E388" s="56" t="s">
        <v>1559</v>
      </c>
      <c r="F388" s="55" t="s">
        <v>1560</v>
      </c>
      <c r="G388" s="5">
        <f>IF(Estimation!$B$18="",0,IF(ISNUMBER(SEARCH(LOWER(Estimation!$B$18),F388)),1,0))</f>
        <v>0</v>
      </c>
      <c r="H388" s="5" t="str">
        <f>IF(G388=1,SUM($G$4:G388),"")</f>
        <v/>
      </c>
    </row>
    <row r="389" spans="1:8" x14ac:dyDescent="0.35">
      <c r="A389" s="56" t="s">
        <v>1271</v>
      </c>
      <c r="B389" s="56" t="s">
        <v>1561</v>
      </c>
      <c r="C389" s="56" t="s">
        <v>1562</v>
      </c>
      <c r="D389" s="39">
        <v>275</v>
      </c>
      <c r="E389" s="56" t="s">
        <v>1563</v>
      </c>
      <c r="F389" s="55" t="s">
        <v>1564</v>
      </c>
      <c r="G389" s="5">
        <f>IF(Estimation!$B$18="",0,IF(ISNUMBER(SEARCH(LOWER(Estimation!$B$18),F389)),1,0))</f>
        <v>0</v>
      </c>
      <c r="H389" s="5" t="str">
        <f>IF(G389=1,SUM($G$4:G389),"")</f>
        <v/>
      </c>
    </row>
    <row r="390" spans="1:8" x14ac:dyDescent="0.35">
      <c r="A390" s="56" t="s">
        <v>1271</v>
      </c>
      <c r="B390" s="56" t="s">
        <v>1565</v>
      </c>
      <c r="C390" s="56" t="s">
        <v>1566</v>
      </c>
      <c r="D390" s="39">
        <v>25.18</v>
      </c>
      <c r="E390" s="56" t="s">
        <v>1567</v>
      </c>
      <c r="F390" s="55" t="s">
        <v>1568</v>
      </c>
      <c r="G390" s="5">
        <f>IF(Estimation!$B$18="",0,IF(ISNUMBER(SEARCH(LOWER(Estimation!$B$18),F390)),1,0))</f>
        <v>0</v>
      </c>
      <c r="H390" s="5" t="str">
        <f>IF(G390=1,SUM($G$4:G390),"")</f>
        <v/>
      </c>
    </row>
    <row r="391" spans="1:8" x14ac:dyDescent="0.35">
      <c r="A391" s="56" t="s">
        <v>1271</v>
      </c>
      <c r="B391" s="56" t="s">
        <v>1569</v>
      </c>
      <c r="C391" s="56" t="s">
        <v>1570</v>
      </c>
      <c r="D391" s="39">
        <v>16.95</v>
      </c>
      <c r="E391" s="56" t="s">
        <v>1571</v>
      </c>
      <c r="F391" s="55" t="s">
        <v>1572</v>
      </c>
      <c r="G391" s="5">
        <f>IF(Estimation!$B$18="",0,IF(ISNUMBER(SEARCH(LOWER(Estimation!$B$18),F391)),1,0))</f>
        <v>0</v>
      </c>
      <c r="H391" s="5" t="str">
        <f>IF(G391=1,SUM($G$4:G391),"")</f>
        <v/>
      </c>
    </row>
    <row r="392" spans="1:8" x14ac:dyDescent="0.35">
      <c r="A392" s="56" t="s">
        <v>1271</v>
      </c>
      <c r="B392" s="56" t="s">
        <v>1573</v>
      </c>
      <c r="C392" s="56" t="s">
        <v>1574</v>
      </c>
      <c r="D392" s="39">
        <v>4.5</v>
      </c>
      <c r="E392" s="56" t="s">
        <v>1575</v>
      </c>
      <c r="F392" s="55" t="s">
        <v>1576</v>
      </c>
      <c r="G392" s="5">
        <f>IF(Estimation!$B$18="",0,IF(ISNUMBER(SEARCH(LOWER(Estimation!$B$18),F392)),1,0))</f>
        <v>0</v>
      </c>
      <c r="H392" s="5" t="str">
        <f>IF(G392=1,SUM($G$4:G392),"")</f>
        <v/>
      </c>
    </row>
    <row r="393" spans="1:8" x14ac:dyDescent="0.35">
      <c r="A393" s="56" t="s">
        <v>1271</v>
      </c>
      <c r="B393" s="56" t="s">
        <v>1577</v>
      </c>
      <c r="C393" s="56" t="s">
        <v>1578</v>
      </c>
      <c r="D393" s="39">
        <v>91.7</v>
      </c>
      <c r="E393" s="56" t="s">
        <v>1579</v>
      </c>
      <c r="F393" s="55" t="s">
        <v>1580</v>
      </c>
      <c r="G393" s="5">
        <f>IF(Estimation!$B$18="",0,IF(ISNUMBER(SEARCH(LOWER(Estimation!$B$18),F393)),1,0))</f>
        <v>0</v>
      </c>
      <c r="H393" s="5" t="str">
        <f>IF(G393=1,SUM($G$4:G393),"")</f>
        <v/>
      </c>
    </row>
    <row r="394" spans="1:8" x14ac:dyDescent="0.35">
      <c r="A394" s="56" t="s">
        <v>1271</v>
      </c>
      <c r="B394" s="56" t="s">
        <v>1581</v>
      </c>
      <c r="C394" s="56" t="s">
        <v>1582</v>
      </c>
      <c r="D394" s="39">
        <v>138</v>
      </c>
      <c r="E394" s="56" t="s">
        <v>1583</v>
      </c>
      <c r="F394" s="55" t="s">
        <v>1584</v>
      </c>
      <c r="G394" s="5">
        <f>IF(Estimation!$B$18="",0,IF(ISNUMBER(SEARCH(LOWER(Estimation!$B$18),F394)),1,0))</f>
        <v>0</v>
      </c>
      <c r="H394" s="5" t="str">
        <f>IF(G394=1,SUM($G$4:G394),"")</f>
        <v/>
      </c>
    </row>
    <row r="395" spans="1:8" x14ac:dyDescent="0.35">
      <c r="A395" s="56" t="s">
        <v>1271</v>
      </c>
      <c r="B395" s="56" t="s">
        <v>1585</v>
      </c>
      <c r="C395" s="56" t="s">
        <v>1586</v>
      </c>
      <c r="D395" s="39">
        <v>42.18</v>
      </c>
      <c r="E395" s="56" t="s">
        <v>1587</v>
      </c>
      <c r="F395" s="55" t="s">
        <v>1588</v>
      </c>
      <c r="G395" s="5">
        <f>IF(Estimation!$B$18="",0,IF(ISNUMBER(SEARCH(LOWER(Estimation!$B$18),F395)),1,0))</f>
        <v>0</v>
      </c>
      <c r="H395" s="5" t="str">
        <f>IF(G395=1,SUM($G$4:G395),"")</f>
        <v/>
      </c>
    </row>
    <row r="396" spans="1:8" x14ac:dyDescent="0.35">
      <c r="A396" s="56" t="s">
        <v>1271</v>
      </c>
      <c r="B396" s="56" t="s">
        <v>1589</v>
      </c>
      <c r="C396" s="56" t="s">
        <v>1590</v>
      </c>
      <c r="D396" s="39">
        <v>42.18</v>
      </c>
      <c r="E396" s="56" t="s">
        <v>1591</v>
      </c>
      <c r="F396" s="55" t="s">
        <v>1592</v>
      </c>
      <c r="G396" s="5">
        <f>IF(Estimation!$B$18="",0,IF(ISNUMBER(SEARCH(LOWER(Estimation!$B$18),F396)),1,0))</f>
        <v>0</v>
      </c>
      <c r="H396" s="5" t="str">
        <f>IF(G396=1,SUM($G$4:G396),"")</f>
        <v/>
      </c>
    </row>
    <row r="397" spans="1:8" x14ac:dyDescent="0.35">
      <c r="A397" s="56" t="s">
        <v>1271</v>
      </c>
      <c r="B397" s="56" t="s">
        <v>1593</v>
      </c>
      <c r="C397" s="56" t="s">
        <v>1594</v>
      </c>
      <c r="D397" s="39">
        <v>50.38</v>
      </c>
      <c r="E397" s="56" t="s">
        <v>1595</v>
      </c>
      <c r="F397" s="55" t="s">
        <v>1596</v>
      </c>
      <c r="G397" s="5">
        <f>IF(Estimation!$B$18="",0,IF(ISNUMBER(SEARCH(LOWER(Estimation!$B$18),F397)),1,0))</f>
        <v>0</v>
      </c>
      <c r="H397" s="5" t="str">
        <f>IF(G397=1,SUM($G$4:G397),"")</f>
        <v/>
      </c>
    </row>
    <row r="398" spans="1:8" x14ac:dyDescent="0.35">
      <c r="A398" s="56" t="s">
        <v>1271</v>
      </c>
      <c r="B398" s="56" t="s">
        <v>1597</v>
      </c>
      <c r="C398" s="56" t="s">
        <v>1598</v>
      </c>
      <c r="D398" s="39">
        <v>50.38</v>
      </c>
      <c r="E398" s="56" t="s">
        <v>1599</v>
      </c>
      <c r="F398" s="55" t="s">
        <v>1600</v>
      </c>
      <c r="G398" s="5">
        <f>IF(Estimation!$B$18="",0,IF(ISNUMBER(SEARCH(LOWER(Estimation!$B$18),F398)),1,0))</f>
        <v>0</v>
      </c>
      <c r="H398" s="5" t="str">
        <f>IF(G398=1,SUM($G$4:G398),"")</f>
        <v/>
      </c>
    </row>
    <row r="399" spans="1:8" x14ac:dyDescent="0.35">
      <c r="A399" s="56" t="s">
        <v>1271</v>
      </c>
      <c r="B399" s="56" t="s">
        <v>1601</v>
      </c>
      <c r="C399" s="56" t="s">
        <v>1602</v>
      </c>
      <c r="D399" s="39">
        <v>10.4</v>
      </c>
      <c r="E399" s="56" t="s">
        <v>1603</v>
      </c>
      <c r="F399" s="55" t="s">
        <v>1604</v>
      </c>
      <c r="G399" s="5">
        <f>IF(Estimation!$B$18="",0,IF(ISNUMBER(SEARCH(LOWER(Estimation!$B$18),F399)),1,0))</f>
        <v>0</v>
      </c>
      <c r="H399" s="5" t="str">
        <f>IF(G399=1,SUM($G$4:G399),"")</f>
        <v/>
      </c>
    </row>
    <row r="400" spans="1:8" x14ac:dyDescent="0.35">
      <c r="A400" s="56" t="s">
        <v>1271</v>
      </c>
      <c r="B400" s="56" t="s">
        <v>1605</v>
      </c>
      <c r="C400" s="56" t="s">
        <v>1606</v>
      </c>
      <c r="D400" s="39">
        <v>10.82</v>
      </c>
      <c r="E400" s="56" t="s">
        <v>1607</v>
      </c>
      <c r="F400" s="55" t="s">
        <v>1608</v>
      </c>
      <c r="G400" s="5">
        <f>IF(Estimation!$B$18="",0,IF(ISNUMBER(SEARCH(LOWER(Estimation!$B$18),F400)),1,0))</f>
        <v>0</v>
      </c>
      <c r="H400" s="5" t="str">
        <f>IF(G400=1,SUM($G$4:G400),"")</f>
        <v/>
      </c>
    </row>
    <row r="401" spans="1:8" x14ac:dyDescent="0.35">
      <c r="A401" s="56" t="s">
        <v>1271</v>
      </c>
      <c r="B401" s="56" t="s">
        <v>1609</v>
      </c>
      <c r="C401" s="56" t="s">
        <v>1610</v>
      </c>
      <c r="D401" s="39">
        <v>9.5</v>
      </c>
      <c r="E401" s="56" t="s">
        <v>1611</v>
      </c>
      <c r="F401" s="55" t="s">
        <v>1612</v>
      </c>
      <c r="G401" s="5">
        <f>IF(Estimation!$B$18="",0,IF(ISNUMBER(SEARCH(LOWER(Estimation!$B$18),F401)),1,0))</f>
        <v>0</v>
      </c>
      <c r="H401" s="5" t="str">
        <f>IF(G401=1,SUM($G$4:G401),"")</f>
        <v/>
      </c>
    </row>
    <row r="402" spans="1:8" x14ac:dyDescent="0.35">
      <c r="A402" s="56" t="s">
        <v>1271</v>
      </c>
      <c r="B402" s="56" t="s">
        <v>1613</v>
      </c>
      <c r="C402" s="56" t="s">
        <v>1614</v>
      </c>
      <c r="D402" s="39">
        <v>55.35</v>
      </c>
      <c r="E402" s="56" t="s">
        <v>1615</v>
      </c>
      <c r="F402" s="55" t="s">
        <v>1616</v>
      </c>
      <c r="G402" s="5">
        <f>IF(Estimation!$B$18="",0,IF(ISNUMBER(SEARCH(LOWER(Estimation!$B$18),F402)),1,0))</f>
        <v>0</v>
      </c>
      <c r="H402" s="5" t="str">
        <f>IF(G402=1,SUM($G$4:G402),"")</f>
        <v/>
      </c>
    </row>
    <row r="403" spans="1:8" x14ac:dyDescent="0.35">
      <c r="A403" s="56" t="s">
        <v>1271</v>
      </c>
      <c r="B403" s="56" t="s">
        <v>1617</v>
      </c>
      <c r="C403" s="56" t="s">
        <v>1618</v>
      </c>
      <c r="D403" s="39">
        <v>26.66</v>
      </c>
      <c r="E403" s="56" t="s">
        <v>1619</v>
      </c>
      <c r="F403" s="55" t="s">
        <v>1620</v>
      </c>
      <c r="G403" s="5">
        <f>IF(Estimation!$B$18="",0,IF(ISNUMBER(SEARCH(LOWER(Estimation!$B$18),F403)),1,0))</f>
        <v>0</v>
      </c>
      <c r="H403" s="5" t="str">
        <f>IF(G403=1,SUM($G$4:G403),"")</f>
        <v/>
      </c>
    </row>
    <row r="404" spans="1:8" x14ac:dyDescent="0.35">
      <c r="A404" s="56" t="s">
        <v>1271</v>
      </c>
      <c r="B404" s="56" t="s">
        <v>1621</v>
      </c>
      <c r="C404" s="56" t="s">
        <v>1622</v>
      </c>
      <c r="D404" s="39">
        <v>14.16</v>
      </c>
      <c r="E404" s="56" t="s">
        <v>1623</v>
      </c>
      <c r="F404" s="55" t="s">
        <v>1624</v>
      </c>
      <c r="G404" s="5">
        <f>IF(Estimation!$B$18="",0,IF(ISNUMBER(SEARCH(LOWER(Estimation!$B$18),F404)),1,0))</f>
        <v>0</v>
      </c>
      <c r="H404" s="5" t="str">
        <f>IF(G404=1,SUM($G$4:G404),"")</f>
        <v/>
      </c>
    </row>
    <row r="405" spans="1:8" x14ac:dyDescent="0.35">
      <c r="A405" s="56" t="s">
        <v>1271</v>
      </c>
      <c r="B405" s="56" t="s">
        <v>1625</v>
      </c>
      <c r="C405" s="56" t="s">
        <v>1626</v>
      </c>
      <c r="D405" s="39">
        <v>8.9700000000000006</v>
      </c>
      <c r="E405" s="56" t="s">
        <v>1627</v>
      </c>
      <c r="F405" s="55" t="s">
        <v>1628</v>
      </c>
      <c r="G405" s="5">
        <f>IF(Estimation!$B$18="",0,IF(ISNUMBER(SEARCH(LOWER(Estimation!$B$18),F405)),1,0))</f>
        <v>0</v>
      </c>
      <c r="H405" s="5" t="str">
        <f>IF(G405=1,SUM($G$4:G405),"")</f>
        <v/>
      </c>
    </row>
    <row r="406" spans="1:8" x14ac:dyDescent="0.35">
      <c r="A406" s="56" t="s">
        <v>1271</v>
      </c>
      <c r="B406" s="56" t="s">
        <v>1629</v>
      </c>
      <c r="C406" s="56" t="s">
        <v>1630</v>
      </c>
      <c r="D406" s="39">
        <v>58.11</v>
      </c>
      <c r="E406" s="56" t="s">
        <v>1631</v>
      </c>
      <c r="F406" s="55" t="s">
        <v>1632</v>
      </c>
      <c r="G406" s="5">
        <f>IF(Estimation!$B$18="",0,IF(ISNUMBER(SEARCH(LOWER(Estimation!$B$18),F406)),1,0))</f>
        <v>0</v>
      </c>
      <c r="H406" s="5" t="str">
        <f>IF(G406=1,SUM($G$4:G406),"")</f>
        <v/>
      </c>
    </row>
    <row r="407" spans="1:8" x14ac:dyDescent="0.35">
      <c r="A407" s="56" t="s">
        <v>1271</v>
      </c>
      <c r="B407" s="56" t="s">
        <v>1633</v>
      </c>
      <c r="C407" s="56" t="s">
        <v>1634</v>
      </c>
      <c r="D407" s="39">
        <v>12.72</v>
      </c>
      <c r="E407" s="56" t="s">
        <v>1635</v>
      </c>
      <c r="F407" s="55" t="s">
        <v>1636</v>
      </c>
      <c r="G407" s="5">
        <f>IF(Estimation!$B$18="",0,IF(ISNUMBER(SEARCH(LOWER(Estimation!$B$18),F407)),1,0))</f>
        <v>0</v>
      </c>
      <c r="H407" s="5" t="str">
        <f>IF(G407=1,SUM($G$4:G407),"")</f>
        <v/>
      </c>
    </row>
    <row r="408" spans="1:8" x14ac:dyDescent="0.35">
      <c r="A408" s="56" t="s">
        <v>1271</v>
      </c>
      <c r="B408" s="56" t="s">
        <v>1637</v>
      </c>
      <c r="C408" s="56" t="s">
        <v>1638</v>
      </c>
      <c r="D408" s="39">
        <v>75</v>
      </c>
      <c r="E408" s="56" t="s">
        <v>1639</v>
      </c>
      <c r="F408" s="55" t="s">
        <v>1640</v>
      </c>
      <c r="G408" s="5">
        <f>IF(Estimation!$B$18="",0,IF(ISNUMBER(SEARCH(LOWER(Estimation!$B$18),F408)),1,0))</f>
        <v>0</v>
      </c>
      <c r="H408" s="5" t="str">
        <f>IF(G408=1,SUM($G$4:G408),"")</f>
        <v/>
      </c>
    </row>
    <row r="409" spans="1:8" x14ac:dyDescent="0.35">
      <c r="A409" s="56" t="s">
        <v>1271</v>
      </c>
      <c r="B409" s="56" t="s">
        <v>1641</v>
      </c>
      <c r="C409" s="56" t="s">
        <v>1642</v>
      </c>
      <c r="D409" s="39">
        <v>85</v>
      </c>
      <c r="E409" s="56" t="s">
        <v>1643</v>
      </c>
      <c r="F409" s="55" t="s">
        <v>1644</v>
      </c>
      <c r="G409" s="5">
        <f>IF(Estimation!$B$18="",0,IF(ISNUMBER(SEARCH(LOWER(Estimation!$B$18),F409)),1,0))</f>
        <v>0</v>
      </c>
      <c r="H409" s="5" t="str">
        <f>IF(G409=1,SUM($G$4:G409),"")</f>
        <v/>
      </c>
    </row>
    <row r="410" spans="1:8" x14ac:dyDescent="0.35">
      <c r="A410" s="56" t="s">
        <v>1271</v>
      </c>
      <c r="B410" s="56" t="s">
        <v>1645</v>
      </c>
      <c r="C410" s="56" t="s">
        <v>1646</v>
      </c>
      <c r="D410" s="39">
        <v>125</v>
      </c>
      <c r="E410" s="56" t="s">
        <v>1647</v>
      </c>
      <c r="F410" s="55" t="s">
        <v>1648</v>
      </c>
      <c r="G410" s="5">
        <f>IF(Estimation!$B$18="",0,IF(ISNUMBER(SEARCH(LOWER(Estimation!$B$18),F410)),1,0))</f>
        <v>0</v>
      </c>
      <c r="H410" s="5" t="str">
        <f>IF(G410=1,SUM($G$4:G410),"")</f>
        <v/>
      </c>
    </row>
    <row r="411" spans="1:8" x14ac:dyDescent="0.35">
      <c r="A411" s="56" t="s">
        <v>1271</v>
      </c>
      <c r="B411" s="56" t="s">
        <v>1649</v>
      </c>
      <c r="C411" s="56" t="s">
        <v>1650</v>
      </c>
      <c r="D411" s="39">
        <v>85</v>
      </c>
      <c r="E411" s="56" t="s">
        <v>1651</v>
      </c>
      <c r="F411" s="55" t="s">
        <v>1652</v>
      </c>
      <c r="G411" s="5">
        <f>IF(Estimation!$B$18="",0,IF(ISNUMBER(SEARCH(LOWER(Estimation!$B$18),F411)),1,0))</f>
        <v>0</v>
      </c>
      <c r="H411" s="5" t="str">
        <f>IF(G411=1,SUM($G$4:G411),"")</f>
        <v/>
      </c>
    </row>
    <row r="412" spans="1:8" x14ac:dyDescent="0.35">
      <c r="A412" s="56" t="s">
        <v>1271</v>
      </c>
      <c r="B412" s="56" t="s">
        <v>1653</v>
      </c>
      <c r="C412" s="56" t="s">
        <v>1654</v>
      </c>
      <c r="D412" s="39">
        <v>7.02</v>
      </c>
      <c r="E412" s="56" t="s">
        <v>1655</v>
      </c>
      <c r="F412" s="55" t="s">
        <v>1656</v>
      </c>
      <c r="G412" s="5">
        <f>IF(Estimation!$B$18="",0,IF(ISNUMBER(SEARCH(LOWER(Estimation!$B$18),F412)),1,0))</f>
        <v>0</v>
      </c>
      <c r="H412" s="5" t="str">
        <f>IF(G412=1,SUM($G$4:G412),"")</f>
        <v/>
      </c>
    </row>
    <row r="413" spans="1:8" x14ac:dyDescent="0.35">
      <c r="A413" s="56" t="s">
        <v>1271</v>
      </c>
      <c r="B413" s="56" t="s">
        <v>1657</v>
      </c>
      <c r="C413" s="56" t="s">
        <v>1658</v>
      </c>
      <c r="D413" s="39">
        <v>71.510000000000005</v>
      </c>
      <c r="E413" s="56" t="s">
        <v>1659</v>
      </c>
      <c r="F413" s="55" t="s">
        <v>1660</v>
      </c>
      <c r="G413" s="5">
        <f>IF(Estimation!$B$18="",0,IF(ISNUMBER(SEARCH(LOWER(Estimation!$B$18),F413)),1,0))</f>
        <v>0</v>
      </c>
      <c r="H413" s="5" t="str">
        <f>IF(G413=1,SUM($G$4:G413),"")</f>
        <v/>
      </c>
    </row>
    <row r="414" spans="1:8" x14ac:dyDescent="0.35">
      <c r="A414" s="56" t="s">
        <v>1271</v>
      </c>
      <c r="B414" s="56" t="s">
        <v>1661</v>
      </c>
      <c r="C414" s="56" t="s">
        <v>1662</v>
      </c>
      <c r="D414" s="39">
        <v>294</v>
      </c>
      <c r="E414" s="56" t="s">
        <v>1663</v>
      </c>
      <c r="F414" s="55" t="s">
        <v>1664</v>
      </c>
      <c r="G414" s="5">
        <f>IF(Estimation!$B$18="",0,IF(ISNUMBER(SEARCH(LOWER(Estimation!$B$18),F414)),1,0))</f>
        <v>0</v>
      </c>
      <c r="H414" s="5" t="str">
        <f>IF(G414=1,SUM($G$4:G414),"")</f>
        <v/>
      </c>
    </row>
    <row r="415" spans="1:8" x14ac:dyDescent="0.35">
      <c r="A415" s="56" t="s">
        <v>1271</v>
      </c>
      <c r="B415" s="56" t="s">
        <v>1665</v>
      </c>
      <c r="C415" s="56" t="s">
        <v>1666</v>
      </c>
      <c r="D415" s="39">
        <v>346.73</v>
      </c>
      <c r="E415" s="56" t="s">
        <v>1667</v>
      </c>
      <c r="F415" s="55" t="s">
        <v>1668</v>
      </c>
      <c r="G415" s="5">
        <f>IF(Estimation!$B$18="",0,IF(ISNUMBER(SEARCH(LOWER(Estimation!$B$18),F415)),1,0))</f>
        <v>0</v>
      </c>
      <c r="H415" s="5" t="str">
        <f>IF(G415=1,SUM($G$4:G415),"")</f>
        <v/>
      </c>
    </row>
    <row r="416" spans="1:8" x14ac:dyDescent="0.35">
      <c r="A416" s="56" t="s">
        <v>1271</v>
      </c>
      <c r="B416" s="56" t="s">
        <v>1669</v>
      </c>
      <c r="C416" s="56" t="s">
        <v>1670</v>
      </c>
      <c r="D416" s="39">
        <v>17.36</v>
      </c>
      <c r="E416" s="56" t="s">
        <v>1671</v>
      </c>
      <c r="F416" s="55" t="s">
        <v>1672</v>
      </c>
      <c r="G416" s="5">
        <f>IF(Estimation!$B$18="",0,IF(ISNUMBER(SEARCH(LOWER(Estimation!$B$18),F416)),1,0))</f>
        <v>0</v>
      </c>
      <c r="H416" s="5" t="str">
        <f>IF(G416=1,SUM($G$4:G416),"")</f>
        <v/>
      </c>
    </row>
    <row r="417" spans="1:8" x14ac:dyDescent="0.35">
      <c r="A417" s="56" t="s">
        <v>1271</v>
      </c>
      <c r="B417" s="56" t="s">
        <v>1673</v>
      </c>
      <c r="C417" s="56" t="s">
        <v>1674</v>
      </c>
      <c r="D417" s="39">
        <v>79.150000000000006</v>
      </c>
      <c r="E417" s="56" t="s">
        <v>1675</v>
      </c>
      <c r="F417" s="55" t="s">
        <v>1676</v>
      </c>
      <c r="G417" s="5">
        <f>IF(Estimation!$B$18="",0,IF(ISNUMBER(SEARCH(LOWER(Estimation!$B$18),F417)),1,0))</f>
        <v>0</v>
      </c>
      <c r="H417" s="5" t="str">
        <f>IF(G417=1,SUM($G$4:G417),"")</f>
        <v/>
      </c>
    </row>
    <row r="418" spans="1:8" x14ac:dyDescent="0.35">
      <c r="A418" s="56" t="s">
        <v>1271</v>
      </c>
      <c r="B418" s="56" t="s">
        <v>1677</v>
      </c>
      <c r="C418" s="56" t="s">
        <v>1678</v>
      </c>
      <c r="D418" s="39">
        <v>463.06</v>
      </c>
      <c r="E418" s="56" t="s">
        <v>1679</v>
      </c>
      <c r="F418" s="55" t="s">
        <v>1680</v>
      </c>
      <c r="G418" s="5">
        <f>IF(Estimation!$B$18="",0,IF(ISNUMBER(SEARCH(LOWER(Estimation!$B$18),F418)),1,0))</f>
        <v>0</v>
      </c>
      <c r="H418" s="5" t="str">
        <f>IF(G418=1,SUM($G$4:G418),"")</f>
        <v/>
      </c>
    </row>
    <row r="419" spans="1:8" x14ac:dyDescent="0.35">
      <c r="A419" s="56" t="s">
        <v>1681</v>
      </c>
      <c r="B419" s="56" t="s">
        <v>1682</v>
      </c>
      <c r="C419" s="56" t="s">
        <v>1683</v>
      </c>
      <c r="D419" s="39">
        <v>672</v>
      </c>
      <c r="E419" s="56" t="s">
        <v>1684</v>
      </c>
      <c r="F419" s="55" t="s">
        <v>1685</v>
      </c>
      <c r="G419" s="5">
        <f>IF(Estimation!$B$18="",0,IF(ISNUMBER(SEARCH(LOWER(Estimation!$B$18),F419)),1,0))</f>
        <v>0</v>
      </c>
      <c r="H419" s="5" t="str">
        <f>IF(G419=1,SUM($G$4:G419),"")</f>
        <v/>
      </c>
    </row>
    <row r="420" spans="1:8" x14ac:dyDescent="0.35">
      <c r="A420" s="56" t="s">
        <v>1681</v>
      </c>
      <c r="B420" s="56" t="s">
        <v>1686</v>
      </c>
      <c r="C420" s="56" t="s">
        <v>1687</v>
      </c>
      <c r="D420" s="39">
        <v>669</v>
      </c>
      <c r="E420" s="56" t="s">
        <v>1688</v>
      </c>
      <c r="F420" s="55" t="s">
        <v>1689</v>
      </c>
      <c r="G420" s="5">
        <f>IF(Estimation!$B$18="",0,IF(ISNUMBER(SEARCH(LOWER(Estimation!$B$18),F420)),1,0))</f>
        <v>0</v>
      </c>
      <c r="H420" s="5" t="str">
        <f>IF(G420=1,SUM($G$4:G420),"")</f>
        <v/>
      </c>
    </row>
    <row r="421" spans="1:8" x14ac:dyDescent="0.35">
      <c r="A421" s="56" t="s">
        <v>1681</v>
      </c>
      <c r="B421" s="56" t="s">
        <v>1690</v>
      </c>
      <c r="C421" s="56" t="s">
        <v>1691</v>
      </c>
      <c r="D421" s="39">
        <v>873</v>
      </c>
      <c r="E421" s="56" t="s">
        <v>1692</v>
      </c>
      <c r="F421" s="55" t="s">
        <v>1693</v>
      </c>
      <c r="G421" s="5">
        <f>IF(Estimation!$B$18="",0,IF(ISNUMBER(SEARCH(LOWER(Estimation!$B$18),F421)),1,0))</f>
        <v>0</v>
      </c>
      <c r="H421" s="5" t="str">
        <f>IF(G421=1,SUM($G$4:G421),"")</f>
        <v/>
      </c>
    </row>
    <row r="422" spans="1:8" x14ac:dyDescent="0.35">
      <c r="A422" s="56" t="s">
        <v>1681</v>
      </c>
      <c r="B422" s="56" t="s">
        <v>1694</v>
      </c>
      <c r="C422" s="56" t="s">
        <v>1695</v>
      </c>
      <c r="D422" s="39">
        <v>1014</v>
      </c>
      <c r="E422" s="56" t="s">
        <v>1696</v>
      </c>
      <c r="F422" s="55" t="s">
        <v>1697</v>
      </c>
      <c r="G422" s="5">
        <f>IF(Estimation!$B$18="",0,IF(ISNUMBER(SEARCH(LOWER(Estimation!$B$18),F422)),1,0))</f>
        <v>0</v>
      </c>
      <c r="H422" s="5" t="str">
        <f>IF(G422=1,SUM($G$4:G422),"")</f>
        <v/>
      </c>
    </row>
    <row r="423" spans="1:8" x14ac:dyDescent="0.35">
      <c r="A423" s="56" t="s">
        <v>1681</v>
      </c>
      <c r="B423" s="56" t="s">
        <v>1698</v>
      </c>
      <c r="C423" s="56" t="s">
        <v>1699</v>
      </c>
      <c r="D423" s="39">
        <v>960</v>
      </c>
      <c r="E423" s="56" t="s">
        <v>1700</v>
      </c>
      <c r="F423" s="55" t="s">
        <v>1701</v>
      </c>
      <c r="G423" s="5">
        <f>IF(Estimation!$B$18="",0,IF(ISNUMBER(SEARCH(LOWER(Estimation!$B$18),F423)),1,0))</f>
        <v>0</v>
      </c>
      <c r="H423" s="5" t="str">
        <f>IF(G423=1,SUM($G$4:G423),"")</f>
        <v/>
      </c>
    </row>
    <row r="424" spans="1:8" x14ac:dyDescent="0.35">
      <c r="A424" s="56" t="s">
        <v>1681</v>
      </c>
      <c r="B424" s="56" t="s">
        <v>1702</v>
      </c>
      <c r="C424" s="56" t="s">
        <v>1703</v>
      </c>
      <c r="D424" s="39">
        <v>1129</v>
      </c>
      <c r="E424" s="56" t="s">
        <v>1704</v>
      </c>
      <c r="F424" s="55" t="s">
        <v>1705</v>
      </c>
      <c r="G424" s="5">
        <f>IF(Estimation!$B$18="",0,IF(ISNUMBER(SEARCH(LOWER(Estimation!$B$18),F424)),1,0))</f>
        <v>0</v>
      </c>
      <c r="H424" s="5" t="str">
        <f>IF(G424=1,SUM($G$4:G424),"")</f>
        <v/>
      </c>
    </row>
    <row r="425" spans="1:8" x14ac:dyDescent="0.35">
      <c r="A425" s="56" t="s">
        <v>1681</v>
      </c>
      <c r="B425" s="56" t="s">
        <v>1706</v>
      </c>
      <c r="C425" s="56" t="s">
        <v>1707</v>
      </c>
      <c r="D425" s="39">
        <v>2001</v>
      </c>
      <c r="E425" s="56" t="s">
        <v>1708</v>
      </c>
      <c r="F425" s="55" t="s">
        <v>1709</v>
      </c>
      <c r="G425" s="5">
        <f>IF(Estimation!$B$18="",0,IF(ISNUMBER(SEARCH(LOWER(Estimation!$B$18),F425)),1,0))</f>
        <v>0</v>
      </c>
      <c r="H425" s="5" t="str">
        <f>IF(G425=1,SUM($G$4:G425),"")</f>
        <v/>
      </c>
    </row>
    <row r="426" spans="1:8" x14ac:dyDescent="0.35">
      <c r="A426" s="56" t="s">
        <v>1681</v>
      </c>
      <c r="B426" s="56" t="s">
        <v>1710</v>
      </c>
      <c r="C426" s="56" t="s">
        <v>1711</v>
      </c>
      <c r="D426" s="39">
        <v>2078</v>
      </c>
      <c r="E426" s="56" t="s">
        <v>1712</v>
      </c>
      <c r="F426" s="55" t="s">
        <v>1713</v>
      </c>
      <c r="G426" s="5">
        <f>IF(Estimation!$B$18="",0,IF(ISNUMBER(SEARCH(LOWER(Estimation!$B$18),F426)),1,0))</f>
        <v>0</v>
      </c>
      <c r="H426" s="5" t="str">
        <f>IF(G426=1,SUM($G$4:G426),"")</f>
        <v/>
      </c>
    </row>
    <row r="427" spans="1:8" x14ac:dyDescent="0.35">
      <c r="A427" s="56" t="s">
        <v>1681</v>
      </c>
      <c r="B427" s="56" t="s">
        <v>1714</v>
      </c>
      <c r="C427" s="56" t="s">
        <v>1715</v>
      </c>
      <c r="D427" s="39">
        <v>2472</v>
      </c>
      <c r="E427" s="56" t="s">
        <v>1716</v>
      </c>
      <c r="F427" s="55" t="s">
        <v>1717</v>
      </c>
      <c r="G427" s="5">
        <f>IF(Estimation!$B$18="",0,IF(ISNUMBER(SEARCH(LOWER(Estimation!$B$18),F427)),1,0))</f>
        <v>0</v>
      </c>
      <c r="H427" s="5" t="str">
        <f>IF(G427=1,SUM($G$4:G427),"")</f>
        <v/>
      </c>
    </row>
    <row r="428" spans="1:8" x14ac:dyDescent="0.35">
      <c r="A428" s="56" t="s">
        <v>1681</v>
      </c>
      <c r="B428" s="56" t="s">
        <v>1718</v>
      </c>
      <c r="C428" s="56" t="s">
        <v>1719</v>
      </c>
      <c r="D428" s="39">
        <v>2865</v>
      </c>
      <c r="E428" s="56" t="s">
        <v>1720</v>
      </c>
      <c r="F428" s="55" t="s">
        <v>1721</v>
      </c>
      <c r="G428" s="5">
        <f>IF(Estimation!$B$18="",0,IF(ISNUMBER(SEARCH(LOWER(Estimation!$B$18),F428)),1,0))</f>
        <v>0</v>
      </c>
      <c r="H428" s="5" t="str">
        <f>IF(G428=1,SUM($G$4:G428),"")</f>
        <v/>
      </c>
    </row>
    <row r="429" spans="1:8" x14ac:dyDescent="0.35">
      <c r="A429" s="56" t="s">
        <v>1681</v>
      </c>
      <c r="B429" s="56" t="s">
        <v>1722</v>
      </c>
      <c r="C429" s="56" t="s">
        <v>1723</v>
      </c>
      <c r="D429" s="39">
        <v>3256</v>
      </c>
      <c r="E429" s="56" t="s">
        <v>1724</v>
      </c>
      <c r="F429" s="55" t="s">
        <v>1725</v>
      </c>
      <c r="G429" s="5">
        <f>IF(Estimation!$B$18="",0,IF(ISNUMBER(SEARCH(LOWER(Estimation!$B$18),F429)),1,0))</f>
        <v>0</v>
      </c>
      <c r="H429" s="5" t="str">
        <f>IF(G429=1,SUM($G$4:G429),"")</f>
        <v/>
      </c>
    </row>
    <row r="430" spans="1:8" x14ac:dyDescent="0.35">
      <c r="A430" s="56" t="s">
        <v>1681</v>
      </c>
      <c r="B430" s="56" t="s">
        <v>1726</v>
      </c>
      <c r="C430" s="56" t="s">
        <v>1727</v>
      </c>
      <c r="D430" s="39">
        <v>3658</v>
      </c>
      <c r="E430" s="56" t="s">
        <v>1728</v>
      </c>
      <c r="F430" s="55" t="s">
        <v>1729</v>
      </c>
      <c r="G430" s="5">
        <f>IF(Estimation!$B$18="",0,IF(ISNUMBER(SEARCH(LOWER(Estimation!$B$18),F430)),1,0))</f>
        <v>0</v>
      </c>
      <c r="H430" s="5" t="str">
        <f>IF(G430=1,SUM($G$4:G430),"")</f>
        <v/>
      </c>
    </row>
    <row r="431" spans="1:8" x14ac:dyDescent="0.35">
      <c r="A431" s="56" t="s">
        <v>1681</v>
      </c>
      <c r="B431" s="56" t="s">
        <v>1730</v>
      </c>
      <c r="C431" s="56" t="s">
        <v>1731</v>
      </c>
      <c r="D431" s="39">
        <v>3722</v>
      </c>
      <c r="E431" s="56" t="s">
        <v>1732</v>
      </c>
      <c r="F431" s="55" t="s">
        <v>1733</v>
      </c>
      <c r="G431" s="5">
        <f>IF(Estimation!$B$18="",0,IF(ISNUMBER(SEARCH(LOWER(Estimation!$B$18),F431)),1,0))</f>
        <v>0</v>
      </c>
      <c r="H431" s="5" t="str">
        <f>IF(G431=1,SUM($G$4:G431),"")</f>
        <v/>
      </c>
    </row>
    <row r="432" spans="1:8" x14ac:dyDescent="0.35">
      <c r="A432" s="56" t="s">
        <v>1681</v>
      </c>
      <c r="B432" s="56" t="s">
        <v>1734</v>
      </c>
      <c r="C432" s="56" t="s">
        <v>1735</v>
      </c>
      <c r="D432" s="39">
        <v>416</v>
      </c>
      <c r="E432" s="56" t="s">
        <v>1736</v>
      </c>
      <c r="F432" s="55" t="s">
        <v>1737</v>
      </c>
      <c r="G432" s="5">
        <f>IF(Estimation!$B$18="",0,IF(ISNUMBER(SEARCH(LOWER(Estimation!$B$18),F432)),1,0))</f>
        <v>0</v>
      </c>
      <c r="H432" s="5" t="str">
        <f>IF(G432=1,SUM($G$4:G432),"")</f>
        <v/>
      </c>
    </row>
    <row r="433" spans="1:8" x14ac:dyDescent="0.35">
      <c r="A433" s="56" t="s">
        <v>1681</v>
      </c>
      <c r="B433" s="56" t="s">
        <v>1738</v>
      </c>
      <c r="C433" s="56" t="s">
        <v>1739</v>
      </c>
      <c r="D433" s="39">
        <v>3113</v>
      </c>
      <c r="E433" s="56" t="s">
        <v>1740</v>
      </c>
      <c r="F433" s="55" t="s">
        <v>1741</v>
      </c>
      <c r="G433" s="5">
        <f>IF(Estimation!$B$18="",0,IF(ISNUMBER(SEARCH(LOWER(Estimation!$B$18),F433)),1,0))</f>
        <v>0</v>
      </c>
      <c r="H433" s="5" t="str">
        <f>IF(G433=1,SUM($G$4:G433),"")</f>
        <v/>
      </c>
    </row>
    <row r="434" spans="1:8" x14ac:dyDescent="0.35">
      <c r="A434" s="56" t="s">
        <v>1681</v>
      </c>
      <c r="B434" s="56" t="s">
        <v>1742</v>
      </c>
      <c r="C434" s="56" t="s">
        <v>1743</v>
      </c>
      <c r="D434" s="39">
        <v>2894</v>
      </c>
      <c r="E434" s="56" t="s">
        <v>1744</v>
      </c>
      <c r="F434" s="55" t="s">
        <v>1745</v>
      </c>
      <c r="G434" s="5">
        <f>IF(Estimation!$B$18="",0,IF(ISNUMBER(SEARCH(LOWER(Estimation!$B$18),F434)),1,0))</f>
        <v>0</v>
      </c>
      <c r="H434" s="5" t="str">
        <f>IF(G434=1,SUM($G$4:G434),"")</f>
        <v/>
      </c>
    </row>
    <row r="435" spans="1:8" x14ac:dyDescent="0.35">
      <c r="A435" s="56" t="s">
        <v>1681</v>
      </c>
      <c r="B435" s="56" t="s">
        <v>1746</v>
      </c>
      <c r="C435" s="56" t="s">
        <v>1747</v>
      </c>
      <c r="D435" s="39">
        <v>3632</v>
      </c>
      <c r="E435" s="56" t="s">
        <v>1748</v>
      </c>
      <c r="F435" s="55" t="s">
        <v>1749</v>
      </c>
      <c r="G435" s="5">
        <f>IF(Estimation!$B$18="",0,IF(ISNUMBER(SEARCH(LOWER(Estimation!$B$18),F435)),1,0))</f>
        <v>0</v>
      </c>
      <c r="H435" s="5" t="str">
        <f>IF(G435=1,SUM($G$4:G435),"")</f>
        <v/>
      </c>
    </row>
    <row r="436" spans="1:8" x14ac:dyDescent="0.35">
      <c r="A436" s="56" t="s">
        <v>1681</v>
      </c>
      <c r="B436" s="56" t="s">
        <v>1750</v>
      </c>
      <c r="C436" s="56" t="s">
        <v>1751</v>
      </c>
      <c r="D436" s="39">
        <v>3798</v>
      </c>
      <c r="E436" s="56" t="s">
        <v>1752</v>
      </c>
      <c r="F436" s="55" t="s">
        <v>1753</v>
      </c>
      <c r="G436" s="5">
        <f>IF(Estimation!$B$18="",0,IF(ISNUMBER(SEARCH(LOWER(Estimation!$B$18),F436)),1,0))</f>
        <v>0</v>
      </c>
      <c r="H436" s="5" t="str">
        <f>IF(G436=1,SUM($G$4:G436),"")</f>
        <v/>
      </c>
    </row>
    <row r="437" spans="1:8" x14ac:dyDescent="0.35">
      <c r="A437" s="56" t="s">
        <v>1681</v>
      </c>
      <c r="B437" s="56" t="s">
        <v>1754</v>
      </c>
      <c r="C437" s="56" t="s">
        <v>1755</v>
      </c>
      <c r="D437" s="39">
        <v>4325</v>
      </c>
      <c r="E437" s="56" t="s">
        <v>1756</v>
      </c>
      <c r="F437" s="55" t="s">
        <v>1757</v>
      </c>
      <c r="G437" s="5">
        <f>IF(Estimation!$B$18="",0,IF(ISNUMBER(SEARCH(LOWER(Estimation!$B$18),F437)),1,0))</f>
        <v>0</v>
      </c>
      <c r="H437" s="5" t="str">
        <f>IF(G437=1,SUM($G$4:G437),"")</f>
        <v/>
      </c>
    </row>
    <row r="438" spans="1:8" x14ac:dyDescent="0.35">
      <c r="A438" s="56" t="s">
        <v>1681</v>
      </c>
      <c r="B438" s="56" t="s">
        <v>1758</v>
      </c>
      <c r="C438" s="56" t="s">
        <v>1759</v>
      </c>
      <c r="D438" s="39">
        <v>5114</v>
      </c>
      <c r="E438" s="56" t="s">
        <v>1760</v>
      </c>
      <c r="F438" s="55" t="s">
        <v>1761</v>
      </c>
      <c r="G438" s="5">
        <f>IF(Estimation!$B$18="",0,IF(ISNUMBER(SEARCH(LOWER(Estimation!$B$18),F438)),1,0))</f>
        <v>0</v>
      </c>
      <c r="H438" s="5" t="str">
        <f>IF(G438=1,SUM($G$4:G438),"")</f>
        <v/>
      </c>
    </row>
    <row r="439" spans="1:8" x14ac:dyDescent="0.35">
      <c r="A439" s="56" t="s">
        <v>1681</v>
      </c>
      <c r="B439" s="56" t="s">
        <v>1762</v>
      </c>
      <c r="C439" s="56" t="s">
        <v>1763</v>
      </c>
      <c r="D439" s="39">
        <v>5852</v>
      </c>
      <c r="E439" s="56" t="s">
        <v>1764</v>
      </c>
      <c r="F439" s="55" t="s">
        <v>1765</v>
      </c>
      <c r="G439" s="5">
        <f>IF(Estimation!$B$18="",0,IF(ISNUMBER(SEARCH(LOWER(Estimation!$B$18),F439)),1,0))</f>
        <v>0</v>
      </c>
      <c r="H439" s="5" t="str">
        <f>IF(G439=1,SUM($G$4:G439),"")</f>
        <v/>
      </c>
    </row>
    <row r="440" spans="1:8" x14ac:dyDescent="0.35">
      <c r="A440" s="56" t="s">
        <v>1681</v>
      </c>
      <c r="B440" s="56" t="s">
        <v>1766</v>
      </c>
      <c r="C440" s="56" t="s">
        <v>1767</v>
      </c>
      <c r="D440" s="39">
        <v>6315</v>
      </c>
      <c r="E440" s="56" t="s">
        <v>1768</v>
      </c>
      <c r="F440" s="55" t="s">
        <v>1769</v>
      </c>
      <c r="G440" s="5">
        <f>IF(Estimation!$B$18="",0,IF(ISNUMBER(SEARCH(LOWER(Estimation!$B$18),F440)),1,0))</f>
        <v>0</v>
      </c>
      <c r="H440" s="5" t="str">
        <f>IF(G440=1,SUM($G$4:G440),"")</f>
        <v/>
      </c>
    </row>
    <row r="441" spans="1:8" x14ac:dyDescent="0.35">
      <c r="A441" s="56" t="s">
        <v>1681</v>
      </c>
      <c r="B441" s="56" t="s">
        <v>1770</v>
      </c>
      <c r="C441" s="56" t="s">
        <v>1771</v>
      </c>
      <c r="D441" s="39">
        <v>2495</v>
      </c>
      <c r="E441" s="56" t="s">
        <v>1772</v>
      </c>
      <c r="F441" s="55" t="s">
        <v>1773</v>
      </c>
      <c r="G441" s="5">
        <f>IF(Estimation!$B$18="",0,IF(ISNUMBER(SEARCH(LOWER(Estimation!$B$18),F441)),1,0))</f>
        <v>0</v>
      </c>
      <c r="H441" s="5" t="str">
        <f>IF(G441=1,SUM($G$4:G441),"")</f>
        <v/>
      </c>
    </row>
    <row r="442" spans="1:8" x14ac:dyDescent="0.35">
      <c r="A442" s="56" t="s">
        <v>1681</v>
      </c>
      <c r="B442" s="56" t="s">
        <v>1774</v>
      </c>
      <c r="C442" s="56" t="s">
        <v>1775</v>
      </c>
      <c r="D442" s="39">
        <v>3352</v>
      </c>
      <c r="E442" s="56" t="s">
        <v>1776</v>
      </c>
      <c r="F442" s="55" t="s">
        <v>1777</v>
      </c>
      <c r="G442" s="5">
        <f>IF(Estimation!$B$18="",0,IF(ISNUMBER(SEARCH(LOWER(Estimation!$B$18),F442)),1,0))</f>
        <v>0</v>
      </c>
      <c r="H442" s="5" t="str">
        <f>IF(G442=1,SUM($G$4:G442),"")</f>
        <v/>
      </c>
    </row>
    <row r="443" spans="1:8" x14ac:dyDescent="0.35">
      <c r="A443" s="56" t="s">
        <v>1681</v>
      </c>
      <c r="B443" s="56" t="s">
        <v>1778</v>
      </c>
      <c r="C443" s="56" t="s">
        <v>1779</v>
      </c>
      <c r="D443" s="39">
        <v>3826</v>
      </c>
      <c r="E443" s="56" t="s">
        <v>1780</v>
      </c>
      <c r="F443" s="55" t="s">
        <v>1781</v>
      </c>
      <c r="G443" s="5">
        <f>IF(Estimation!$B$18="",0,IF(ISNUMBER(SEARCH(LOWER(Estimation!$B$18),F443)),1,0))</f>
        <v>0</v>
      </c>
      <c r="H443" s="5" t="str">
        <f>IF(G443=1,SUM($G$4:G443),"")</f>
        <v/>
      </c>
    </row>
    <row r="444" spans="1:8" x14ac:dyDescent="0.35">
      <c r="A444" s="56" t="s">
        <v>1681</v>
      </c>
      <c r="B444" s="56" t="s">
        <v>1782</v>
      </c>
      <c r="C444" s="56" t="s">
        <v>1783</v>
      </c>
      <c r="D444" s="39">
        <v>3148</v>
      </c>
      <c r="E444" s="56" t="s">
        <v>1784</v>
      </c>
      <c r="F444" s="55" t="s">
        <v>1785</v>
      </c>
      <c r="G444" s="5">
        <f>IF(Estimation!$B$18="",0,IF(ISNUMBER(SEARCH(LOWER(Estimation!$B$18),F444)),1,0))</f>
        <v>0</v>
      </c>
      <c r="H444" s="5" t="str">
        <f>IF(G444=1,SUM($G$4:G444),"")</f>
        <v/>
      </c>
    </row>
    <row r="445" spans="1:8" x14ac:dyDescent="0.35">
      <c r="A445" s="56" t="s">
        <v>1681</v>
      </c>
      <c r="B445" s="56" t="s">
        <v>1786</v>
      </c>
      <c r="C445" s="56" t="s">
        <v>1787</v>
      </c>
      <c r="D445" s="39">
        <v>4535</v>
      </c>
      <c r="E445" s="56" t="s">
        <v>1788</v>
      </c>
      <c r="F445" s="55" t="s">
        <v>1789</v>
      </c>
      <c r="G445" s="5">
        <f>IF(Estimation!$B$18="",0,IF(ISNUMBER(SEARCH(LOWER(Estimation!$B$18),F445)),1,0))</f>
        <v>0</v>
      </c>
      <c r="H445" s="5" t="str">
        <f>IF(G445=1,SUM($G$4:G445),"")</f>
        <v/>
      </c>
    </row>
    <row r="446" spans="1:8" x14ac:dyDescent="0.35">
      <c r="A446" s="56" t="s">
        <v>1681</v>
      </c>
      <c r="B446" s="56" t="s">
        <v>1790</v>
      </c>
      <c r="C446" s="56" t="s">
        <v>1791</v>
      </c>
      <c r="D446" s="39">
        <v>267</v>
      </c>
      <c r="E446" s="56" t="s">
        <v>1792</v>
      </c>
      <c r="F446" s="55" t="s">
        <v>1793</v>
      </c>
      <c r="G446" s="5">
        <f>IF(Estimation!$B$18="",0,IF(ISNUMBER(SEARCH(LOWER(Estimation!$B$18),F446)),1,0))</f>
        <v>0</v>
      </c>
      <c r="H446" s="5" t="str">
        <f>IF(G446=1,SUM($G$4:G446),"")</f>
        <v/>
      </c>
    </row>
    <row r="447" spans="1:8" x14ac:dyDescent="0.35">
      <c r="A447" s="56" t="s">
        <v>1681</v>
      </c>
      <c r="B447" s="56" t="s">
        <v>1794</v>
      </c>
      <c r="C447" s="56" t="s">
        <v>1795</v>
      </c>
      <c r="D447" s="39">
        <v>341</v>
      </c>
      <c r="E447" s="56" t="s">
        <v>1796</v>
      </c>
      <c r="F447" s="55" t="s">
        <v>1797</v>
      </c>
      <c r="G447" s="5">
        <f>IF(Estimation!$B$18="",0,IF(ISNUMBER(SEARCH(LOWER(Estimation!$B$18),F447)),1,0))</f>
        <v>0</v>
      </c>
      <c r="H447" s="5" t="str">
        <f>IF(G447=1,SUM($G$4:G447),"")</f>
        <v/>
      </c>
    </row>
    <row r="448" spans="1:8" x14ac:dyDescent="0.35">
      <c r="A448" s="56" t="s">
        <v>1681</v>
      </c>
      <c r="B448" s="56" t="s">
        <v>1798</v>
      </c>
      <c r="C448" s="56" t="s">
        <v>1799</v>
      </c>
      <c r="D448" s="39">
        <v>273</v>
      </c>
      <c r="E448" s="56" t="s">
        <v>1800</v>
      </c>
      <c r="F448" s="55" t="s">
        <v>1801</v>
      </c>
      <c r="G448" s="5">
        <f>IF(Estimation!$B$18="",0,IF(ISNUMBER(SEARCH(LOWER(Estimation!$B$18),F448)),1,0))</f>
        <v>0</v>
      </c>
      <c r="H448" s="5" t="str">
        <f>IF(G448=1,SUM($G$4:G448),"")</f>
        <v/>
      </c>
    </row>
    <row r="449" spans="1:8" x14ac:dyDescent="0.35">
      <c r="A449" s="56" t="s">
        <v>1681</v>
      </c>
      <c r="B449" s="56" t="s">
        <v>1802</v>
      </c>
      <c r="C449" s="56" t="s">
        <v>1803</v>
      </c>
      <c r="D449" s="39">
        <v>341</v>
      </c>
      <c r="E449" s="56" t="s">
        <v>1804</v>
      </c>
      <c r="F449" s="55" t="s">
        <v>1805</v>
      </c>
      <c r="G449" s="5">
        <f>IF(Estimation!$B$18="",0,IF(ISNUMBER(SEARCH(LOWER(Estimation!$B$18),F449)),1,0))</f>
        <v>0</v>
      </c>
      <c r="H449" s="5" t="str">
        <f>IF(G449=1,SUM($G$4:G449),"")</f>
        <v/>
      </c>
    </row>
    <row r="450" spans="1:8" x14ac:dyDescent="0.35">
      <c r="A450" s="56" t="s">
        <v>1681</v>
      </c>
      <c r="B450" s="56" t="s">
        <v>1806</v>
      </c>
      <c r="C450" s="56" t="s">
        <v>1807</v>
      </c>
      <c r="D450" s="39">
        <v>416</v>
      </c>
      <c r="E450" s="56" t="s">
        <v>1808</v>
      </c>
      <c r="F450" s="55" t="s">
        <v>1809</v>
      </c>
      <c r="G450" s="5">
        <f>IF(Estimation!$B$18="",0,IF(ISNUMBER(SEARCH(LOWER(Estimation!$B$18),F450)),1,0))</f>
        <v>0</v>
      </c>
      <c r="H450" s="5" t="str">
        <f>IF(G450=1,SUM($G$4:G450),"")</f>
        <v/>
      </c>
    </row>
    <row r="451" spans="1:8" x14ac:dyDescent="0.35">
      <c r="A451" s="56" t="s">
        <v>1681</v>
      </c>
      <c r="B451" s="56" t="s">
        <v>1810</v>
      </c>
      <c r="C451" s="56" t="s">
        <v>1811</v>
      </c>
      <c r="D451" s="39">
        <v>1739</v>
      </c>
      <c r="E451" s="56" t="s">
        <v>1812</v>
      </c>
      <c r="F451" s="55" t="s">
        <v>1813</v>
      </c>
      <c r="G451" s="5">
        <f>IF(Estimation!$B$18="",0,IF(ISNUMBER(SEARCH(LOWER(Estimation!$B$18),F451)),1,0))</f>
        <v>0</v>
      </c>
      <c r="H451" s="5" t="str">
        <f>IF(G451=1,SUM($G$4:G451),"")</f>
        <v/>
      </c>
    </row>
    <row r="452" spans="1:8" x14ac:dyDescent="0.35">
      <c r="A452" s="56" t="s">
        <v>1681</v>
      </c>
      <c r="B452" s="56" t="s">
        <v>1814</v>
      </c>
      <c r="C452" s="56" t="s">
        <v>1815</v>
      </c>
      <c r="D452" s="39">
        <v>667</v>
      </c>
      <c r="E452" s="56" t="s">
        <v>1816</v>
      </c>
      <c r="F452" s="55" t="s">
        <v>1817</v>
      </c>
      <c r="G452" s="5">
        <f>IF(Estimation!$B$18="",0,IF(ISNUMBER(SEARCH(LOWER(Estimation!$B$18),F452)),1,0))</f>
        <v>0</v>
      </c>
      <c r="H452" s="5" t="str">
        <f>IF(G452=1,SUM($G$4:G452),"")</f>
        <v/>
      </c>
    </row>
    <row r="453" spans="1:8" x14ac:dyDescent="0.35">
      <c r="A453" s="56" t="s">
        <v>1681</v>
      </c>
      <c r="B453" s="56" t="s">
        <v>1818</v>
      </c>
      <c r="C453" s="56" t="s">
        <v>1819</v>
      </c>
      <c r="D453" s="39">
        <v>637</v>
      </c>
      <c r="E453" s="56" t="s">
        <v>1820</v>
      </c>
      <c r="F453" s="55" t="s">
        <v>1821</v>
      </c>
      <c r="G453" s="5">
        <f>IF(Estimation!$B$18="",0,IF(ISNUMBER(SEARCH(LOWER(Estimation!$B$18),F453)),1,0))</f>
        <v>0</v>
      </c>
      <c r="H453" s="5" t="str">
        <f>IF(G453=1,SUM($G$4:G453),"")</f>
        <v/>
      </c>
    </row>
    <row r="454" spans="1:8" x14ac:dyDescent="0.35">
      <c r="A454" s="56" t="s">
        <v>1681</v>
      </c>
      <c r="B454" s="56" t="s">
        <v>1822</v>
      </c>
      <c r="C454" s="56" t="s">
        <v>1823</v>
      </c>
      <c r="D454" s="39">
        <v>431</v>
      </c>
      <c r="E454" s="56" t="s">
        <v>1824</v>
      </c>
      <c r="F454" s="55" t="s">
        <v>1825</v>
      </c>
      <c r="G454" s="5">
        <f>IF(Estimation!$B$18="",0,IF(ISNUMBER(SEARCH(LOWER(Estimation!$B$18),F454)),1,0))</f>
        <v>0</v>
      </c>
      <c r="H454" s="5" t="str">
        <f>IF(G454=1,SUM($G$4:G454),"")</f>
        <v/>
      </c>
    </row>
    <row r="455" spans="1:8" x14ac:dyDescent="0.35">
      <c r="A455" s="56" t="s">
        <v>1681</v>
      </c>
      <c r="B455" s="56" t="s">
        <v>1826</v>
      </c>
      <c r="C455" s="56" t="s">
        <v>1827</v>
      </c>
      <c r="D455" s="39">
        <v>210</v>
      </c>
      <c r="E455" s="56" t="s">
        <v>1828</v>
      </c>
      <c r="F455" s="55" t="s">
        <v>1829</v>
      </c>
      <c r="G455" s="5">
        <f>IF(Estimation!$B$18="",0,IF(ISNUMBER(SEARCH(LOWER(Estimation!$B$18),F455)),1,0))</f>
        <v>0</v>
      </c>
      <c r="H455" s="5" t="str">
        <f>IF(G455=1,SUM($G$4:G455),"")</f>
        <v/>
      </c>
    </row>
    <row r="456" spans="1:8" x14ac:dyDescent="0.35">
      <c r="A456" s="56" t="s">
        <v>1681</v>
      </c>
      <c r="B456" s="56" t="s">
        <v>1830</v>
      </c>
      <c r="C456" s="56" t="s">
        <v>1831</v>
      </c>
      <c r="D456" s="39">
        <v>959</v>
      </c>
      <c r="E456" s="56" t="s">
        <v>1832</v>
      </c>
      <c r="F456" s="55" t="s">
        <v>1833</v>
      </c>
      <c r="G456" s="5">
        <f>IF(Estimation!$B$18="",0,IF(ISNUMBER(SEARCH(LOWER(Estimation!$B$18),F456)),1,0))</f>
        <v>0</v>
      </c>
      <c r="H456" s="5" t="str">
        <f>IF(G456=1,SUM($G$4:G456),"")</f>
        <v/>
      </c>
    </row>
    <row r="457" spans="1:8" x14ac:dyDescent="0.35">
      <c r="A457" s="56" t="s">
        <v>1681</v>
      </c>
      <c r="B457" s="56" t="s">
        <v>1834</v>
      </c>
      <c r="C457" s="56" t="s">
        <v>1835</v>
      </c>
      <c r="D457" s="39">
        <v>489</v>
      </c>
      <c r="E457" s="56" t="s">
        <v>1836</v>
      </c>
      <c r="F457" s="55" t="s">
        <v>1837</v>
      </c>
      <c r="G457" s="5">
        <f>IF(Estimation!$B$18="",0,IF(ISNUMBER(SEARCH(LOWER(Estimation!$B$18),F457)),1,0))</f>
        <v>0</v>
      </c>
      <c r="H457" s="5" t="str">
        <f>IF(G457=1,SUM($G$4:G457),"")</f>
        <v/>
      </c>
    </row>
    <row r="458" spans="1:8" x14ac:dyDescent="0.35">
      <c r="A458" s="56" t="s">
        <v>1681</v>
      </c>
      <c r="B458" s="56" t="s">
        <v>1838</v>
      </c>
      <c r="C458" s="56" t="s">
        <v>1839</v>
      </c>
      <c r="D458" s="39">
        <v>449</v>
      </c>
      <c r="E458" s="56" t="s">
        <v>1840</v>
      </c>
      <c r="F458" s="55" t="s">
        <v>1841</v>
      </c>
      <c r="G458" s="5">
        <f>IF(Estimation!$B$18="",0,IF(ISNUMBER(SEARCH(LOWER(Estimation!$B$18),F458)),1,0))</f>
        <v>0</v>
      </c>
      <c r="H458" s="5" t="str">
        <f>IF(G458=1,SUM($G$4:G458),"")</f>
        <v/>
      </c>
    </row>
    <row r="459" spans="1:8" x14ac:dyDescent="0.35">
      <c r="A459" s="56" t="s">
        <v>1681</v>
      </c>
      <c r="B459" s="56" t="s">
        <v>1842</v>
      </c>
      <c r="C459" s="56" t="s">
        <v>1843</v>
      </c>
      <c r="D459" s="39">
        <v>4010</v>
      </c>
      <c r="E459" s="56" t="s">
        <v>1844</v>
      </c>
      <c r="F459" s="55" t="s">
        <v>1845</v>
      </c>
      <c r="G459" s="5">
        <f>IF(Estimation!$B$18="",0,IF(ISNUMBER(SEARCH(LOWER(Estimation!$B$18),F459)),1,0))</f>
        <v>0</v>
      </c>
      <c r="H459" s="5" t="str">
        <f>IF(G459=1,SUM($G$4:G459),"")</f>
        <v/>
      </c>
    </row>
    <row r="460" spans="1:8" x14ac:dyDescent="0.35">
      <c r="A460" s="56" t="s">
        <v>1681</v>
      </c>
      <c r="B460" s="56" t="s">
        <v>1846</v>
      </c>
      <c r="C460" s="56" t="s">
        <v>1847</v>
      </c>
      <c r="D460" s="39">
        <v>1593</v>
      </c>
      <c r="E460" s="56" t="s">
        <v>1848</v>
      </c>
      <c r="F460" s="55" t="s">
        <v>1849</v>
      </c>
      <c r="G460" s="5">
        <f>IF(Estimation!$B$18="",0,IF(ISNUMBER(SEARCH(LOWER(Estimation!$B$18),F460)),1,0))</f>
        <v>0</v>
      </c>
      <c r="H460" s="5" t="str">
        <f>IF(G460=1,SUM($G$4:G460),"")</f>
        <v/>
      </c>
    </row>
    <row r="461" spans="1:8" x14ac:dyDescent="0.35">
      <c r="A461" s="56" t="s">
        <v>1681</v>
      </c>
      <c r="B461" s="56" t="s">
        <v>1850</v>
      </c>
      <c r="C461" s="56" t="s">
        <v>1851</v>
      </c>
      <c r="D461" s="39">
        <v>1904</v>
      </c>
      <c r="E461" s="56" t="s">
        <v>1852</v>
      </c>
      <c r="F461" s="55" t="s">
        <v>1853</v>
      </c>
      <c r="G461" s="5">
        <f>IF(Estimation!$B$18="",0,IF(ISNUMBER(SEARCH(LOWER(Estimation!$B$18),F461)),1,0))</f>
        <v>0</v>
      </c>
      <c r="H461" s="5" t="str">
        <f>IF(G461=1,SUM($G$4:G461),"")</f>
        <v/>
      </c>
    </row>
    <row r="462" spans="1:8" x14ac:dyDescent="0.35">
      <c r="A462" s="56" t="s">
        <v>1681</v>
      </c>
      <c r="B462" s="56" t="s">
        <v>1854</v>
      </c>
      <c r="C462" s="56" t="s">
        <v>1855</v>
      </c>
      <c r="D462" s="39">
        <v>2628</v>
      </c>
      <c r="E462" s="56" t="s">
        <v>1856</v>
      </c>
      <c r="F462" s="55" t="s">
        <v>1857</v>
      </c>
      <c r="G462" s="5">
        <f>IF(Estimation!$B$18="",0,IF(ISNUMBER(SEARCH(LOWER(Estimation!$B$18),F462)),1,0))</f>
        <v>0</v>
      </c>
      <c r="H462" s="5" t="str">
        <f>IF(G462=1,SUM($G$4:G462),"")</f>
        <v/>
      </c>
    </row>
    <row r="463" spans="1:8" x14ac:dyDescent="0.35">
      <c r="A463" s="56" t="s">
        <v>1681</v>
      </c>
      <c r="B463" s="56" t="s">
        <v>1858</v>
      </c>
      <c r="C463" s="56" t="s">
        <v>1859</v>
      </c>
      <c r="D463" s="39">
        <v>3318</v>
      </c>
      <c r="E463" s="56" t="s">
        <v>1860</v>
      </c>
      <c r="F463" s="55" t="s">
        <v>1861</v>
      </c>
      <c r="G463" s="5">
        <f>IF(Estimation!$B$18="",0,IF(ISNUMBER(SEARCH(LOWER(Estimation!$B$18),F463)),1,0))</f>
        <v>0</v>
      </c>
      <c r="H463" s="5" t="str">
        <f>IF(G463=1,SUM($G$4:G463),"")</f>
        <v/>
      </c>
    </row>
    <row r="464" spans="1:8" x14ac:dyDescent="0.35">
      <c r="A464" s="56" t="s">
        <v>1681</v>
      </c>
      <c r="B464" s="56" t="s">
        <v>1862</v>
      </c>
      <c r="C464" s="56" t="s">
        <v>1863</v>
      </c>
      <c r="D464" s="39">
        <v>104</v>
      </c>
      <c r="E464" s="56" t="s">
        <v>1864</v>
      </c>
      <c r="F464" s="55" t="s">
        <v>1865</v>
      </c>
      <c r="G464" s="5">
        <f>IF(Estimation!$B$18="",0,IF(ISNUMBER(SEARCH(LOWER(Estimation!$B$18),F464)),1,0))</f>
        <v>0</v>
      </c>
      <c r="H464" s="5" t="str">
        <f>IF(G464=1,SUM($G$4:G464),"")</f>
        <v/>
      </c>
    </row>
    <row r="465" spans="1:8" x14ac:dyDescent="0.35">
      <c r="A465" s="56" t="s">
        <v>1681</v>
      </c>
      <c r="B465" s="56" t="s">
        <v>1866</v>
      </c>
      <c r="C465" s="56" t="s">
        <v>1867</v>
      </c>
      <c r="D465" s="39">
        <v>48</v>
      </c>
      <c r="E465" s="56" t="s">
        <v>1868</v>
      </c>
      <c r="F465" s="55" t="s">
        <v>1869</v>
      </c>
      <c r="G465" s="5">
        <f>IF(Estimation!$B$18="",0,IF(ISNUMBER(SEARCH(LOWER(Estimation!$B$18),F465)),1,0))</f>
        <v>0</v>
      </c>
      <c r="H465" s="5" t="str">
        <f>IF(G465=1,SUM($G$4:G465),"")</f>
        <v/>
      </c>
    </row>
    <row r="466" spans="1:8" x14ac:dyDescent="0.35">
      <c r="A466" s="56" t="s">
        <v>1681</v>
      </c>
      <c r="B466" s="56" t="s">
        <v>1870</v>
      </c>
      <c r="C466" s="56" t="s">
        <v>1871</v>
      </c>
      <c r="D466" s="39">
        <v>48</v>
      </c>
      <c r="E466" s="56" t="s">
        <v>1872</v>
      </c>
      <c r="F466" s="55" t="s">
        <v>1873</v>
      </c>
      <c r="G466" s="5">
        <f>IF(Estimation!$B$18="",0,IF(ISNUMBER(SEARCH(LOWER(Estimation!$B$18),F466)),1,0))</f>
        <v>0</v>
      </c>
      <c r="H466" s="5" t="str">
        <f>IF(G466=1,SUM($G$4:G466),"")</f>
        <v/>
      </c>
    </row>
    <row r="467" spans="1:8" x14ac:dyDescent="0.35">
      <c r="A467" s="56" t="s">
        <v>1681</v>
      </c>
      <c r="B467" s="56" t="s">
        <v>1874</v>
      </c>
      <c r="C467" s="56" t="s">
        <v>1875</v>
      </c>
      <c r="D467" s="39">
        <v>48</v>
      </c>
      <c r="E467" s="56" t="s">
        <v>1876</v>
      </c>
      <c r="F467" s="55" t="s">
        <v>1877</v>
      </c>
      <c r="G467" s="5">
        <f>IF(Estimation!$B$18="",0,IF(ISNUMBER(SEARCH(LOWER(Estimation!$B$18),F467)),1,0))</f>
        <v>0</v>
      </c>
      <c r="H467" s="5" t="str">
        <f>IF(G467=1,SUM($G$4:G467),"")</f>
        <v/>
      </c>
    </row>
    <row r="468" spans="1:8" x14ac:dyDescent="0.35">
      <c r="A468" s="56" t="s">
        <v>1681</v>
      </c>
      <c r="B468" s="56" t="s">
        <v>1878</v>
      </c>
      <c r="C468" s="56" t="s">
        <v>1879</v>
      </c>
      <c r="D468" s="39">
        <v>48</v>
      </c>
      <c r="E468" s="56" t="s">
        <v>1880</v>
      </c>
      <c r="F468" s="55" t="s">
        <v>1881</v>
      </c>
      <c r="G468" s="5">
        <f>IF(Estimation!$B$18="",0,IF(ISNUMBER(SEARCH(LOWER(Estimation!$B$18),F468)),1,0))</f>
        <v>0</v>
      </c>
      <c r="H468" s="5" t="str">
        <f>IF(G468=1,SUM($G$4:G468),"")</f>
        <v/>
      </c>
    </row>
    <row r="469" spans="1:8" x14ac:dyDescent="0.35">
      <c r="A469" s="56" t="s">
        <v>1681</v>
      </c>
      <c r="B469" s="56" t="s">
        <v>1882</v>
      </c>
      <c r="C469" s="56" t="s">
        <v>1883</v>
      </c>
      <c r="D469" s="39">
        <v>18</v>
      </c>
      <c r="E469" s="56" t="s">
        <v>1884</v>
      </c>
      <c r="F469" s="55" t="s">
        <v>1885</v>
      </c>
      <c r="G469" s="5">
        <f>IF(Estimation!$B$18="",0,IF(ISNUMBER(SEARCH(LOWER(Estimation!$B$18),F469)),1,0))</f>
        <v>0</v>
      </c>
      <c r="H469" s="5" t="str">
        <f>IF(G469=1,SUM($G$4:G469),"")</f>
        <v/>
      </c>
    </row>
    <row r="470" spans="1:8" x14ac:dyDescent="0.35">
      <c r="A470" s="56" t="s">
        <v>1681</v>
      </c>
      <c r="B470" s="56" t="s">
        <v>1886</v>
      </c>
      <c r="C470" s="56" t="s">
        <v>1887</v>
      </c>
      <c r="D470" s="39">
        <v>207</v>
      </c>
      <c r="E470" s="56" t="s">
        <v>1888</v>
      </c>
      <c r="F470" s="55" t="s">
        <v>1889</v>
      </c>
      <c r="G470" s="5">
        <f>IF(Estimation!$B$18="",0,IF(ISNUMBER(SEARCH(LOWER(Estimation!$B$18),F470)),1,0))</f>
        <v>0</v>
      </c>
      <c r="H470" s="5" t="str">
        <f>IF(G470=1,SUM($G$4:G470),"")</f>
        <v/>
      </c>
    </row>
    <row r="471" spans="1:8" x14ac:dyDescent="0.35">
      <c r="A471" s="56" t="s">
        <v>1681</v>
      </c>
      <c r="B471" s="56" t="s">
        <v>1890</v>
      </c>
      <c r="C471" s="56" t="s">
        <v>1891</v>
      </c>
      <c r="D471" s="39">
        <v>400</v>
      </c>
      <c r="E471" s="56" t="s">
        <v>1892</v>
      </c>
      <c r="F471" s="55" t="s">
        <v>1893</v>
      </c>
      <c r="G471" s="5">
        <f>IF(Estimation!$B$18="",0,IF(ISNUMBER(SEARCH(LOWER(Estimation!$B$18),F471)),1,0))</f>
        <v>0</v>
      </c>
      <c r="H471" s="5" t="str">
        <f>IF(G471=1,SUM($G$4:G471),"")</f>
        <v/>
      </c>
    </row>
    <row r="472" spans="1:8" x14ac:dyDescent="0.35">
      <c r="A472" s="56" t="s">
        <v>1681</v>
      </c>
      <c r="B472" s="56" t="s">
        <v>1894</v>
      </c>
      <c r="C472" s="56" t="s">
        <v>1895</v>
      </c>
      <c r="D472" s="39">
        <v>44</v>
      </c>
      <c r="E472" s="56" t="s">
        <v>1896</v>
      </c>
      <c r="F472" s="55" t="s">
        <v>1897</v>
      </c>
      <c r="G472" s="5">
        <f>IF(Estimation!$B$18="",0,IF(ISNUMBER(SEARCH(LOWER(Estimation!$B$18),F472)),1,0))</f>
        <v>0</v>
      </c>
      <c r="H472" s="5" t="str">
        <f>IF(G472=1,SUM($G$4:G472),"")</f>
        <v/>
      </c>
    </row>
    <row r="473" spans="1:8" x14ac:dyDescent="0.35">
      <c r="A473" s="56" t="s">
        <v>1681</v>
      </c>
      <c r="B473" s="56" t="s">
        <v>1898</v>
      </c>
      <c r="C473" s="56" t="s">
        <v>1899</v>
      </c>
      <c r="D473" s="39">
        <v>56</v>
      </c>
      <c r="E473" s="56" t="s">
        <v>1900</v>
      </c>
      <c r="F473" s="55" t="s">
        <v>1901</v>
      </c>
      <c r="G473" s="5">
        <f>IF(Estimation!$B$18="",0,IF(ISNUMBER(SEARCH(LOWER(Estimation!$B$18),F473)),1,0))</f>
        <v>0</v>
      </c>
      <c r="H473" s="5" t="str">
        <f>IF(G473=1,SUM($G$4:G473),"")</f>
        <v/>
      </c>
    </row>
    <row r="474" spans="1:8" x14ac:dyDescent="0.35">
      <c r="A474" s="56" t="s">
        <v>1681</v>
      </c>
      <c r="B474" s="56" t="s">
        <v>1902</v>
      </c>
      <c r="C474" s="56" t="s">
        <v>1903</v>
      </c>
      <c r="D474" s="39">
        <v>56</v>
      </c>
      <c r="E474" s="56" t="s">
        <v>1904</v>
      </c>
      <c r="F474" s="55" t="s">
        <v>1905</v>
      </c>
      <c r="G474" s="5">
        <f>IF(Estimation!$B$18="",0,IF(ISNUMBER(SEARCH(LOWER(Estimation!$B$18),F474)),1,0))</f>
        <v>0</v>
      </c>
      <c r="H474" s="5" t="str">
        <f>IF(G474=1,SUM($G$4:G474),"")</f>
        <v/>
      </c>
    </row>
    <row r="475" spans="1:8" x14ac:dyDescent="0.35">
      <c r="A475" s="56" t="s">
        <v>1681</v>
      </c>
      <c r="B475" s="56" t="s">
        <v>1906</v>
      </c>
      <c r="C475" s="56" t="s">
        <v>1907</v>
      </c>
      <c r="D475" s="39">
        <v>56</v>
      </c>
      <c r="E475" s="56" t="s">
        <v>1908</v>
      </c>
      <c r="F475" s="55" t="s">
        <v>1909</v>
      </c>
      <c r="G475" s="5">
        <f>IF(Estimation!$B$18="",0,IF(ISNUMBER(SEARCH(LOWER(Estimation!$B$18),F475)),1,0))</f>
        <v>0</v>
      </c>
      <c r="H475" s="5" t="str">
        <f>IF(G475=1,SUM($G$4:G475),"")</f>
        <v/>
      </c>
    </row>
    <row r="476" spans="1:8" x14ac:dyDescent="0.35">
      <c r="A476" s="56" t="s">
        <v>1681</v>
      </c>
      <c r="B476" s="56" t="s">
        <v>1910</v>
      </c>
      <c r="C476" s="56" t="s">
        <v>1911</v>
      </c>
      <c r="D476" s="39">
        <v>56</v>
      </c>
      <c r="E476" s="56" t="s">
        <v>1912</v>
      </c>
      <c r="F476" s="55" t="s">
        <v>1913</v>
      </c>
      <c r="G476" s="5">
        <f>IF(Estimation!$B$18="",0,IF(ISNUMBER(SEARCH(LOWER(Estimation!$B$18),F476)),1,0))</f>
        <v>0</v>
      </c>
      <c r="H476" s="5" t="str">
        <f>IF(G476=1,SUM($G$4:G476),"")</f>
        <v/>
      </c>
    </row>
    <row r="477" spans="1:8" x14ac:dyDescent="0.35">
      <c r="A477" s="56" t="s">
        <v>1681</v>
      </c>
      <c r="B477" s="56" t="s">
        <v>1914</v>
      </c>
      <c r="C477" s="56" t="s">
        <v>1915</v>
      </c>
      <c r="D477" s="39">
        <v>64</v>
      </c>
      <c r="E477" s="56" t="s">
        <v>1916</v>
      </c>
      <c r="F477" s="55" t="s">
        <v>1917</v>
      </c>
      <c r="G477" s="5">
        <f>IF(Estimation!$B$18="",0,IF(ISNUMBER(SEARCH(LOWER(Estimation!$B$18),F477)),1,0))</f>
        <v>0</v>
      </c>
      <c r="H477" s="5" t="str">
        <f>IF(G477=1,SUM($G$4:G477),"")</f>
        <v/>
      </c>
    </row>
    <row r="478" spans="1:8" x14ac:dyDescent="0.35">
      <c r="A478" s="56" t="s">
        <v>1681</v>
      </c>
      <c r="B478" s="56" t="s">
        <v>1918</v>
      </c>
      <c r="C478" s="56" t="s">
        <v>1919</v>
      </c>
      <c r="D478" s="39">
        <v>56</v>
      </c>
      <c r="E478" s="56" t="s">
        <v>1920</v>
      </c>
      <c r="F478" s="55" t="s">
        <v>1921</v>
      </c>
      <c r="G478" s="5">
        <f>IF(Estimation!$B$18="",0,IF(ISNUMBER(SEARCH(LOWER(Estimation!$B$18),F478)),1,0))</f>
        <v>0</v>
      </c>
      <c r="H478" s="5" t="str">
        <f>IF(G478=1,SUM($G$4:G478),"")</f>
        <v/>
      </c>
    </row>
    <row r="479" spans="1:8" x14ac:dyDescent="0.35">
      <c r="A479" s="56" t="s">
        <v>1681</v>
      </c>
      <c r="B479" s="56" t="s">
        <v>1922</v>
      </c>
      <c r="C479" s="56" t="s">
        <v>1923</v>
      </c>
      <c r="D479" s="39">
        <v>44</v>
      </c>
      <c r="E479" s="56" t="s">
        <v>1924</v>
      </c>
      <c r="F479" s="55" t="s">
        <v>1925</v>
      </c>
      <c r="G479" s="5">
        <f>IF(Estimation!$B$18="",0,IF(ISNUMBER(SEARCH(LOWER(Estimation!$B$18),F479)),1,0))</f>
        <v>0</v>
      </c>
      <c r="H479" s="5" t="str">
        <f>IF(G479=1,SUM($G$4:G479),"")</f>
        <v/>
      </c>
    </row>
    <row r="480" spans="1:8" x14ac:dyDescent="0.35">
      <c r="A480" s="56" t="s">
        <v>1681</v>
      </c>
      <c r="B480" s="56" t="s">
        <v>1926</v>
      </c>
      <c r="C480" s="56" t="s">
        <v>1927</v>
      </c>
      <c r="D480" s="39">
        <v>22</v>
      </c>
      <c r="E480" s="56" t="s">
        <v>1928</v>
      </c>
      <c r="F480" s="55" t="s">
        <v>1929</v>
      </c>
      <c r="G480" s="5">
        <f>IF(Estimation!$B$18="",0,IF(ISNUMBER(SEARCH(LOWER(Estimation!$B$18),F480)),1,0))</f>
        <v>0</v>
      </c>
      <c r="H480" s="5" t="str">
        <f>IF(G480=1,SUM($G$4:G480),"")</f>
        <v/>
      </c>
    </row>
    <row r="481" spans="1:8" x14ac:dyDescent="0.35">
      <c r="A481" s="56" t="s">
        <v>1681</v>
      </c>
      <c r="B481" s="56" t="s">
        <v>1930</v>
      </c>
      <c r="C481" s="56" t="s">
        <v>1931</v>
      </c>
      <c r="D481" s="39">
        <v>22</v>
      </c>
      <c r="E481" s="56" t="s">
        <v>1932</v>
      </c>
      <c r="F481" s="55" t="s">
        <v>1933</v>
      </c>
      <c r="G481" s="5">
        <f>IF(Estimation!$B$18="",0,IF(ISNUMBER(SEARCH(LOWER(Estimation!$B$18),F481)),1,0))</f>
        <v>0</v>
      </c>
      <c r="H481" s="5" t="str">
        <f>IF(G481=1,SUM($G$4:G481),"")</f>
        <v/>
      </c>
    </row>
    <row r="482" spans="1:8" x14ac:dyDescent="0.35">
      <c r="A482" s="56" t="s">
        <v>1681</v>
      </c>
      <c r="B482" s="56" t="s">
        <v>1934</v>
      </c>
      <c r="C482" s="56" t="s">
        <v>1935</v>
      </c>
      <c r="D482" s="39">
        <v>44</v>
      </c>
      <c r="E482" s="56" t="s">
        <v>1936</v>
      </c>
      <c r="F482" s="55" t="s">
        <v>1937</v>
      </c>
      <c r="G482" s="5">
        <f>IF(Estimation!$B$18="",0,IF(ISNUMBER(SEARCH(LOWER(Estimation!$B$18),F482)),1,0))</f>
        <v>0</v>
      </c>
      <c r="H482" s="5" t="str">
        <f>IF(G482=1,SUM($G$4:G482),"")</f>
        <v/>
      </c>
    </row>
    <row r="483" spans="1:8" x14ac:dyDescent="0.35">
      <c r="A483" s="56" t="s">
        <v>1681</v>
      </c>
      <c r="B483" s="56" t="s">
        <v>1938</v>
      </c>
      <c r="C483" s="56" t="s">
        <v>1939</v>
      </c>
      <c r="D483" s="39">
        <v>194</v>
      </c>
      <c r="E483" s="56" t="s">
        <v>1940</v>
      </c>
      <c r="F483" s="55" t="s">
        <v>1941</v>
      </c>
      <c r="G483" s="5">
        <f>IF(Estimation!$B$18="",0,IF(ISNUMBER(SEARCH(LOWER(Estimation!$B$18),F483)),1,0))</f>
        <v>0</v>
      </c>
      <c r="H483" s="5" t="str">
        <f>IF(G483=1,SUM($G$4:G483),"")</f>
        <v/>
      </c>
    </row>
    <row r="484" spans="1:8" x14ac:dyDescent="0.35">
      <c r="A484" s="56" t="s">
        <v>1681</v>
      </c>
      <c r="B484" s="56" t="s">
        <v>1942</v>
      </c>
      <c r="C484" s="56" t="s">
        <v>1943</v>
      </c>
      <c r="D484" s="39">
        <v>235</v>
      </c>
      <c r="E484" s="56" t="s">
        <v>1944</v>
      </c>
      <c r="F484" s="55" t="s">
        <v>1945</v>
      </c>
      <c r="G484" s="5">
        <f>IF(Estimation!$B$18="",0,IF(ISNUMBER(SEARCH(LOWER(Estimation!$B$18),F484)),1,0))</f>
        <v>0</v>
      </c>
      <c r="H484" s="5" t="str">
        <f>IF(G484=1,SUM($G$4:G484),"")</f>
        <v/>
      </c>
    </row>
    <row r="485" spans="1:8" x14ac:dyDescent="0.35">
      <c r="A485" s="56" t="s">
        <v>1681</v>
      </c>
      <c r="B485" s="56" t="s">
        <v>1946</v>
      </c>
      <c r="C485" s="56" t="s">
        <v>1947</v>
      </c>
      <c r="D485" s="39">
        <v>235</v>
      </c>
      <c r="E485" s="56" t="s">
        <v>1948</v>
      </c>
      <c r="F485" s="55" t="s">
        <v>1949</v>
      </c>
      <c r="G485" s="5">
        <f>IF(Estimation!$B$18="",0,IF(ISNUMBER(SEARCH(LOWER(Estimation!$B$18),F485)),1,0))</f>
        <v>0</v>
      </c>
      <c r="H485" s="5" t="str">
        <f>IF(G485=1,SUM($G$4:G485),"")</f>
        <v/>
      </c>
    </row>
    <row r="486" spans="1:8" x14ac:dyDescent="0.35">
      <c r="A486" s="56" t="s">
        <v>1681</v>
      </c>
      <c r="B486" s="56" t="s">
        <v>1950</v>
      </c>
      <c r="C486" s="56" t="s">
        <v>1951</v>
      </c>
      <c r="D486" s="39">
        <v>235</v>
      </c>
      <c r="E486" s="56" t="s">
        <v>1952</v>
      </c>
      <c r="F486" s="55" t="s">
        <v>1953</v>
      </c>
      <c r="G486" s="5">
        <f>IF(Estimation!$B$18="",0,IF(ISNUMBER(SEARCH(LOWER(Estimation!$B$18),F486)),1,0))</f>
        <v>0</v>
      </c>
      <c r="H486" s="5" t="str">
        <f>IF(G486=1,SUM($G$4:G486),"")</f>
        <v/>
      </c>
    </row>
    <row r="487" spans="1:8" x14ac:dyDescent="0.35">
      <c r="A487" s="56" t="s">
        <v>1681</v>
      </c>
      <c r="B487" s="56" t="s">
        <v>1954</v>
      </c>
      <c r="C487" s="56" t="s">
        <v>1955</v>
      </c>
      <c r="D487" s="39">
        <v>235</v>
      </c>
      <c r="E487" s="56" t="s">
        <v>1956</v>
      </c>
      <c r="F487" s="55" t="s">
        <v>1957</v>
      </c>
      <c r="G487" s="5">
        <f>IF(Estimation!$B$18="",0,IF(ISNUMBER(SEARCH(LOWER(Estimation!$B$18),F487)),1,0))</f>
        <v>0</v>
      </c>
      <c r="H487" s="5" t="str">
        <f>IF(G487=1,SUM($G$4:G487),"")</f>
        <v/>
      </c>
    </row>
    <row r="488" spans="1:8" x14ac:dyDescent="0.35">
      <c r="A488" s="56" t="s">
        <v>1681</v>
      </c>
      <c r="B488" s="56" t="s">
        <v>1958</v>
      </c>
      <c r="C488" s="56" t="s">
        <v>1959</v>
      </c>
      <c r="D488" s="39">
        <v>267</v>
      </c>
      <c r="E488" s="56" t="s">
        <v>1960</v>
      </c>
      <c r="F488" s="55" t="s">
        <v>1961</v>
      </c>
      <c r="G488" s="5">
        <f>IF(Estimation!$B$18="",0,IF(ISNUMBER(SEARCH(LOWER(Estimation!$B$18),F488)),1,0))</f>
        <v>0</v>
      </c>
      <c r="H488" s="5" t="str">
        <f>IF(G488=1,SUM($G$4:G488),"")</f>
        <v/>
      </c>
    </row>
    <row r="489" spans="1:8" x14ac:dyDescent="0.35">
      <c r="A489" s="56" t="s">
        <v>1681</v>
      </c>
      <c r="B489" s="56" t="s">
        <v>1962</v>
      </c>
      <c r="C489" s="56" t="s">
        <v>1963</v>
      </c>
      <c r="D489" s="39">
        <v>46</v>
      </c>
      <c r="E489" s="56" t="s">
        <v>1964</v>
      </c>
      <c r="F489" s="55" t="s">
        <v>1965</v>
      </c>
      <c r="G489" s="5">
        <f>IF(Estimation!$B$18="",0,IF(ISNUMBER(SEARCH(LOWER(Estimation!$B$18),F489)),1,0))</f>
        <v>0</v>
      </c>
      <c r="H489" s="5" t="str">
        <f>IF(G489=1,SUM($G$4:G489),"")</f>
        <v/>
      </c>
    </row>
    <row r="490" spans="1:8" x14ac:dyDescent="0.35">
      <c r="A490" s="56" t="s">
        <v>1681</v>
      </c>
      <c r="B490" s="56" t="s">
        <v>1966</v>
      </c>
      <c r="C490" s="56" t="s">
        <v>1967</v>
      </c>
      <c r="D490" s="39">
        <v>68</v>
      </c>
      <c r="E490" s="56" t="s">
        <v>1968</v>
      </c>
      <c r="F490" s="55" t="s">
        <v>1969</v>
      </c>
      <c r="G490" s="5">
        <f>IF(Estimation!$B$18="",0,IF(ISNUMBER(SEARCH(LOWER(Estimation!$B$18),F490)),1,0))</f>
        <v>0</v>
      </c>
      <c r="H490" s="5" t="str">
        <f>IF(G490=1,SUM($G$4:G490),"")</f>
        <v/>
      </c>
    </row>
    <row r="491" spans="1:8" x14ac:dyDescent="0.35">
      <c r="A491" s="56" t="s">
        <v>1681</v>
      </c>
      <c r="B491" s="56" t="s">
        <v>1970</v>
      </c>
      <c r="C491" s="56" t="s">
        <v>1971</v>
      </c>
      <c r="D491" s="39">
        <v>107</v>
      </c>
      <c r="E491" s="56" t="s">
        <v>1972</v>
      </c>
      <c r="F491" s="55" t="s">
        <v>1973</v>
      </c>
      <c r="G491" s="5">
        <f>IF(Estimation!$B$18="",0,IF(ISNUMBER(SEARCH(LOWER(Estimation!$B$18),F491)),1,0))</f>
        <v>0</v>
      </c>
      <c r="H491" s="5" t="str">
        <f>IF(G491=1,SUM($G$4:G491),"")</f>
        <v/>
      </c>
    </row>
    <row r="492" spans="1:8" x14ac:dyDescent="0.35">
      <c r="A492" s="56" t="s">
        <v>1681</v>
      </c>
      <c r="B492" s="56" t="s">
        <v>1974</v>
      </c>
      <c r="C492" s="56" t="s">
        <v>1975</v>
      </c>
      <c r="D492" s="39">
        <v>267</v>
      </c>
      <c r="E492" s="56" t="s">
        <v>1976</v>
      </c>
      <c r="F492" s="55" t="s">
        <v>1977</v>
      </c>
      <c r="G492" s="5">
        <f>IF(Estimation!$B$18="",0,IF(ISNUMBER(SEARCH(LOWER(Estimation!$B$18),F492)),1,0))</f>
        <v>0</v>
      </c>
      <c r="H492" s="5" t="str">
        <f>IF(G492=1,SUM($G$4:G492),"")</f>
        <v/>
      </c>
    </row>
    <row r="493" spans="1:8" x14ac:dyDescent="0.35">
      <c r="A493" s="56" t="s">
        <v>1681</v>
      </c>
      <c r="B493" s="56" t="s">
        <v>1978</v>
      </c>
      <c r="C493" s="56" t="s">
        <v>1979</v>
      </c>
      <c r="D493" s="39">
        <v>1913</v>
      </c>
      <c r="E493" s="56" t="s">
        <v>1980</v>
      </c>
      <c r="F493" s="55" t="s">
        <v>1981</v>
      </c>
      <c r="G493" s="5">
        <f>IF(Estimation!$B$18="",0,IF(ISNUMBER(SEARCH(LOWER(Estimation!$B$18),F493)),1,0))</f>
        <v>0</v>
      </c>
      <c r="H493" s="5" t="str">
        <f>IF(G493=1,SUM($G$4:G493),"")</f>
        <v/>
      </c>
    </row>
    <row r="494" spans="1:8" x14ac:dyDescent="0.35">
      <c r="A494" s="56" t="s">
        <v>1681</v>
      </c>
      <c r="B494" s="56" t="s">
        <v>1982</v>
      </c>
      <c r="C494" s="56" t="s">
        <v>1983</v>
      </c>
      <c r="D494" s="39">
        <v>2389</v>
      </c>
      <c r="E494" s="56" t="s">
        <v>1984</v>
      </c>
      <c r="F494" s="55" t="s">
        <v>1985</v>
      </c>
      <c r="G494" s="5">
        <f>IF(Estimation!$B$18="",0,IF(ISNUMBER(SEARCH(LOWER(Estimation!$B$18),F494)),1,0))</f>
        <v>0</v>
      </c>
      <c r="H494" s="5" t="str">
        <f>IF(G494=1,SUM($G$4:G494),"")</f>
        <v/>
      </c>
    </row>
    <row r="495" spans="1:8" x14ac:dyDescent="0.35">
      <c r="A495" s="56" t="s">
        <v>1681</v>
      </c>
      <c r="B495" s="56" t="s">
        <v>1986</v>
      </c>
      <c r="C495" s="56" t="s">
        <v>1987</v>
      </c>
      <c r="D495" s="39">
        <v>1964</v>
      </c>
      <c r="E495" s="56" t="s">
        <v>1988</v>
      </c>
      <c r="F495" s="55" t="s">
        <v>1989</v>
      </c>
      <c r="G495" s="5">
        <f>IF(Estimation!$B$18="",0,IF(ISNUMBER(SEARCH(LOWER(Estimation!$B$18),F495)),1,0))</f>
        <v>0</v>
      </c>
      <c r="H495" s="5" t="str">
        <f>IF(G495=1,SUM($G$4:G495),"")</f>
        <v/>
      </c>
    </row>
    <row r="496" spans="1:8" x14ac:dyDescent="0.35">
      <c r="A496" s="56" t="s">
        <v>1681</v>
      </c>
      <c r="B496" s="56" t="s">
        <v>1990</v>
      </c>
      <c r="C496" s="56" t="s">
        <v>1991</v>
      </c>
      <c r="D496" s="39">
        <v>133</v>
      </c>
      <c r="E496" s="56" t="s">
        <v>1992</v>
      </c>
      <c r="F496" s="55" t="s">
        <v>1993</v>
      </c>
      <c r="G496" s="5">
        <f>IF(Estimation!$B$18="",0,IF(ISNUMBER(SEARCH(LOWER(Estimation!$B$18),F496)),1,0))</f>
        <v>0</v>
      </c>
      <c r="H496" s="5" t="str">
        <f>IF(G496=1,SUM($G$4:G496),"")</f>
        <v/>
      </c>
    </row>
    <row r="497" spans="1:8" x14ac:dyDescent="0.35">
      <c r="A497" s="56" t="s">
        <v>1681</v>
      </c>
      <c r="B497" s="56" t="s">
        <v>1994</v>
      </c>
      <c r="C497" s="56" t="s">
        <v>1995</v>
      </c>
      <c r="D497" s="39">
        <v>1399</v>
      </c>
      <c r="E497" s="56" t="s">
        <v>1996</v>
      </c>
      <c r="F497" s="55" t="s">
        <v>1997</v>
      </c>
      <c r="G497" s="5">
        <f>IF(Estimation!$B$18="",0,IF(ISNUMBER(SEARCH(LOWER(Estimation!$B$18),F497)),1,0))</f>
        <v>0</v>
      </c>
      <c r="H497" s="5" t="str">
        <f>IF(G497=1,SUM($G$4:G497),"")</f>
        <v/>
      </c>
    </row>
    <row r="498" spans="1:8" x14ac:dyDescent="0.35">
      <c r="A498" s="56" t="s">
        <v>1681</v>
      </c>
      <c r="B498" s="56" t="s">
        <v>1998</v>
      </c>
      <c r="C498" s="56" t="s">
        <v>1999</v>
      </c>
      <c r="D498" s="39">
        <v>373</v>
      </c>
      <c r="E498" s="56" t="s">
        <v>2000</v>
      </c>
      <c r="F498" s="55" t="s">
        <v>2001</v>
      </c>
      <c r="G498" s="5">
        <f>IF(Estimation!$B$18="",0,IF(ISNUMBER(SEARCH(LOWER(Estimation!$B$18),F498)),1,0))</f>
        <v>0</v>
      </c>
      <c r="H498" s="5" t="str">
        <f>IF(G498=1,SUM($G$4:G498),"")</f>
        <v/>
      </c>
    </row>
    <row r="499" spans="1:8" x14ac:dyDescent="0.35">
      <c r="A499" s="56" t="s">
        <v>1681</v>
      </c>
      <c r="B499" s="56" t="s">
        <v>2002</v>
      </c>
      <c r="C499" s="56" t="s">
        <v>2003</v>
      </c>
      <c r="D499" s="39">
        <v>408</v>
      </c>
      <c r="E499" s="56" t="s">
        <v>2004</v>
      </c>
      <c r="F499" s="55" t="s">
        <v>2005</v>
      </c>
      <c r="G499" s="5">
        <f>IF(Estimation!$B$18="",0,IF(ISNUMBER(SEARCH(LOWER(Estimation!$B$18),F499)),1,0))</f>
        <v>0</v>
      </c>
      <c r="H499" s="5" t="str">
        <f>IF(G499=1,SUM($G$4:G499),"")</f>
        <v/>
      </c>
    </row>
    <row r="500" spans="1:8" x14ac:dyDescent="0.35">
      <c r="A500" s="56" t="s">
        <v>1681</v>
      </c>
      <c r="B500" s="56" t="s">
        <v>2006</v>
      </c>
      <c r="C500" s="56" t="s">
        <v>2007</v>
      </c>
      <c r="D500" s="39">
        <v>237</v>
      </c>
      <c r="E500" s="56" t="s">
        <v>2008</v>
      </c>
      <c r="F500" s="55" t="s">
        <v>2009</v>
      </c>
      <c r="G500" s="5">
        <f>IF(Estimation!$B$18="",0,IF(ISNUMBER(SEARCH(LOWER(Estimation!$B$18),F500)),1,0))</f>
        <v>0</v>
      </c>
      <c r="H500" s="5" t="str">
        <f>IF(G500=1,SUM($G$4:G500),"")</f>
        <v/>
      </c>
    </row>
    <row r="501" spans="1:8" x14ac:dyDescent="0.35">
      <c r="A501" s="56" t="s">
        <v>1681</v>
      </c>
      <c r="B501" s="56" t="s">
        <v>2010</v>
      </c>
      <c r="C501" s="56" t="s">
        <v>2011</v>
      </c>
      <c r="D501" s="39">
        <v>121</v>
      </c>
      <c r="E501" s="56" t="s">
        <v>2012</v>
      </c>
      <c r="F501" s="55" t="s">
        <v>2013</v>
      </c>
      <c r="G501" s="5">
        <f>IF(Estimation!$B$18="",0,IF(ISNUMBER(SEARCH(LOWER(Estimation!$B$18),F501)),1,0))</f>
        <v>0</v>
      </c>
      <c r="H501" s="5" t="str">
        <f>IF(G501=1,SUM($G$4:G501),"")</f>
        <v/>
      </c>
    </row>
    <row r="502" spans="1:8" x14ac:dyDescent="0.35">
      <c r="A502" s="56" t="s">
        <v>1681</v>
      </c>
      <c r="B502" s="56" t="s">
        <v>2014</v>
      </c>
      <c r="C502" s="56" t="s">
        <v>2015</v>
      </c>
      <c r="D502" s="39">
        <v>194</v>
      </c>
      <c r="E502" s="56" t="s">
        <v>2016</v>
      </c>
      <c r="F502" s="55" t="s">
        <v>2017</v>
      </c>
      <c r="G502" s="5">
        <f>IF(Estimation!$B$18="",0,IF(ISNUMBER(SEARCH(LOWER(Estimation!$B$18),F502)),1,0))</f>
        <v>0</v>
      </c>
      <c r="H502" s="5" t="str">
        <f>IF(G502=1,SUM($G$4:G502),"")</f>
        <v/>
      </c>
    </row>
    <row r="503" spans="1:8" x14ac:dyDescent="0.35">
      <c r="A503" s="56" t="s">
        <v>1681</v>
      </c>
      <c r="B503" s="56" t="s">
        <v>2018</v>
      </c>
      <c r="C503" s="56" t="s">
        <v>2019</v>
      </c>
      <c r="D503" s="39">
        <v>121</v>
      </c>
      <c r="E503" s="56" t="s">
        <v>2020</v>
      </c>
      <c r="F503" s="55" t="s">
        <v>2021</v>
      </c>
      <c r="G503" s="5">
        <f>IF(Estimation!$B$18="",0,IF(ISNUMBER(SEARCH(LOWER(Estimation!$B$18),F503)),1,0))</f>
        <v>0</v>
      </c>
      <c r="H503" s="5" t="str">
        <f>IF(G503=1,SUM($G$4:G503),"")</f>
        <v/>
      </c>
    </row>
    <row r="504" spans="1:8" x14ac:dyDescent="0.35">
      <c r="A504" s="56" t="s">
        <v>1681</v>
      </c>
      <c r="B504" s="56" t="s">
        <v>2022</v>
      </c>
      <c r="C504" s="56" t="s">
        <v>2023</v>
      </c>
      <c r="D504" s="39">
        <v>265</v>
      </c>
      <c r="E504" s="56" t="s">
        <v>2024</v>
      </c>
      <c r="F504" s="55" t="s">
        <v>2025</v>
      </c>
      <c r="G504" s="5">
        <f>IF(Estimation!$B$18="",0,IF(ISNUMBER(SEARCH(LOWER(Estimation!$B$18),F504)),1,0))</f>
        <v>0</v>
      </c>
      <c r="H504" s="5" t="str">
        <f>IF(G504=1,SUM($G$4:G504),"")</f>
        <v/>
      </c>
    </row>
    <row r="505" spans="1:8" x14ac:dyDescent="0.35">
      <c r="A505" s="56" t="s">
        <v>1681</v>
      </c>
      <c r="B505" s="56" t="s">
        <v>2026</v>
      </c>
      <c r="C505" s="56" t="s">
        <v>2027</v>
      </c>
      <c r="D505" s="39">
        <v>138</v>
      </c>
      <c r="E505" s="56" t="s">
        <v>2028</v>
      </c>
      <c r="F505" s="55" t="s">
        <v>2029</v>
      </c>
      <c r="G505" s="5">
        <f>IF(Estimation!$B$18="",0,IF(ISNUMBER(SEARCH(LOWER(Estimation!$B$18),F505)),1,0))</f>
        <v>0</v>
      </c>
      <c r="H505" s="5" t="str">
        <f>IF(G505=1,SUM($G$4:G505),"")</f>
        <v/>
      </c>
    </row>
    <row r="506" spans="1:8" x14ac:dyDescent="0.35">
      <c r="A506" s="56" t="s">
        <v>1681</v>
      </c>
      <c r="B506" s="56" t="s">
        <v>2030</v>
      </c>
      <c r="C506" s="56" t="s">
        <v>2031</v>
      </c>
      <c r="D506" s="39">
        <v>121</v>
      </c>
      <c r="E506" s="56" t="s">
        <v>2032</v>
      </c>
      <c r="F506" s="55" t="s">
        <v>2033</v>
      </c>
      <c r="G506" s="5">
        <f>IF(Estimation!$B$18="",0,IF(ISNUMBER(SEARCH(LOWER(Estimation!$B$18),F506)),1,0))</f>
        <v>0</v>
      </c>
      <c r="H506" s="5" t="str">
        <f>IF(G506=1,SUM($G$4:G506),"")</f>
        <v/>
      </c>
    </row>
    <row r="507" spans="1:8" x14ac:dyDescent="0.35">
      <c r="A507" s="56" t="s">
        <v>1681</v>
      </c>
      <c r="B507" s="56" t="s">
        <v>2034</v>
      </c>
      <c r="C507" s="56" t="s">
        <v>2035</v>
      </c>
      <c r="D507" s="39">
        <v>195</v>
      </c>
      <c r="E507" s="56" t="s">
        <v>2036</v>
      </c>
      <c r="F507" s="55" t="s">
        <v>2037</v>
      </c>
      <c r="G507" s="5">
        <f>IF(Estimation!$B$18="",0,IF(ISNUMBER(SEARCH(LOWER(Estimation!$B$18),F507)),1,0))</f>
        <v>0</v>
      </c>
      <c r="H507" s="5" t="str">
        <f>IF(G507=1,SUM($G$4:G507),"")</f>
        <v/>
      </c>
    </row>
    <row r="508" spans="1:8" x14ac:dyDescent="0.35">
      <c r="A508" s="56" t="s">
        <v>1681</v>
      </c>
      <c r="B508" s="56" t="s">
        <v>2038</v>
      </c>
      <c r="C508" s="56" t="s">
        <v>2039</v>
      </c>
      <c r="D508" s="39">
        <v>316</v>
      </c>
      <c r="E508" s="56" t="s">
        <v>2040</v>
      </c>
      <c r="F508" s="55" t="s">
        <v>2041</v>
      </c>
      <c r="G508" s="5">
        <f>IF(Estimation!$B$18="",0,IF(ISNUMBER(SEARCH(LOWER(Estimation!$B$18),F508)),1,0))</f>
        <v>0</v>
      </c>
      <c r="H508" s="5" t="str">
        <f>IF(G508=1,SUM($G$4:G508),"")</f>
        <v/>
      </c>
    </row>
    <row r="509" spans="1:8" x14ac:dyDescent="0.35">
      <c r="A509" s="56" t="s">
        <v>1681</v>
      </c>
      <c r="B509" s="56" t="s">
        <v>2042</v>
      </c>
      <c r="C509" s="56" t="s">
        <v>2043</v>
      </c>
      <c r="D509" s="39">
        <v>245</v>
      </c>
      <c r="E509" s="56" t="s">
        <v>2044</v>
      </c>
      <c r="F509" s="55" t="s">
        <v>2045</v>
      </c>
      <c r="G509" s="5">
        <f>IF(Estimation!$B$18="",0,IF(ISNUMBER(SEARCH(LOWER(Estimation!$B$18),F509)),1,0))</f>
        <v>0</v>
      </c>
      <c r="H509" s="5" t="str">
        <f>IF(G509=1,SUM($G$4:G509),"")</f>
        <v/>
      </c>
    </row>
    <row r="510" spans="1:8" x14ac:dyDescent="0.35">
      <c r="A510" s="56" t="s">
        <v>1681</v>
      </c>
      <c r="B510" s="56" t="s">
        <v>2046</v>
      </c>
      <c r="C510" s="56" t="s">
        <v>2047</v>
      </c>
      <c r="D510" s="39">
        <v>320</v>
      </c>
      <c r="E510" s="56" t="s">
        <v>2048</v>
      </c>
      <c r="F510" s="55" t="s">
        <v>2049</v>
      </c>
      <c r="G510" s="5">
        <f>IF(Estimation!$B$18="",0,IF(ISNUMBER(SEARCH(LOWER(Estimation!$B$18),F510)),1,0))</f>
        <v>0</v>
      </c>
      <c r="H510" s="5" t="str">
        <f>IF(G510=1,SUM($G$4:G510),"")</f>
        <v/>
      </c>
    </row>
    <row r="511" spans="1:8" x14ac:dyDescent="0.35">
      <c r="A511" s="56" t="s">
        <v>1681</v>
      </c>
      <c r="B511" s="56" t="s">
        <v>2050</v>
      </c>
      <c r="C511" s="56" t="s">
        <v>2051</v>
      </c>
      <c r="D511" s="39">
        <v>21</v>
      </c>
      <c r="E511" s="56" t="s">
        <v>2052</v>
      </c>
      <c r="F511" s="55" t="s">
        <v>2053</v>
      </c>
      <c r="G511" s="5">
        <f>IF(Estimation!$B$18="",0,IF(ISNUMBER(SEARCH(LOWER(Estimation!$B$18),F511)),1,0))</f>
        <v>0</v>
      </c>
      <c r="H511" s="5" t="str">
        <f>IF(G511=1,SUM($G$4:G511),"")</f>
        <v/>
      </c>
    </row>
    <row r="512" spans="1:8" x14ac:dyDescent="0.35">
      <c r="A512" s="56" t="s">
        <v>1681</v>
      </c>
      <c r="B512" s="56" t="s">
        <v>2054</v>
      </c>
      <c r="C512" s="56" t="s">
        <v>2055</v>
      </c>
      <c r="D512" s="39">
        <v>110</v>
      </c>
      <c r="E512" s="56" t="s">
        <v>2056</v>
      </c>
      <c r="F512" s="55" t="s">
        <v>2057</v>
      </c>
      <c r="G512" s="5">
        <f>IF(Estimation!$B$18="",0,IF(ISNUMBER(SEARCH(LOWER(Estimation!$B$18),F512)),1,0))</f>
        <v>0</v>
      </c>
      <c r="H512" s="5" t="str">
        <f>IF(G512=1,SUM($G$4:G512),"")</f>
        <v/>
      </c>
    </row>
    <row r="513" spans="1:8" x14ac:dyDescent="0.35">
      <c r="A513" s="56" t="s">
        <v>1681</v>
      </c>
      <c r="B513" s="56" t="s">
        <v>2058</v>
      </c>
      <c r="C513" s="56" t="s">
        <v>2059</v>
      </c>
      <c r="D513" s="39">
        <v>29</v>
      </c>
      <c r="E513" s="56" t="s">
        <v>2060</v>
      </c>
      <c r="F513" s="55" t="s">
        <v>2061</v>
      </c>
      <c r="G513" s="5">
        <f>IF(Estimation!$B$18="",0,IF(ISNUMBER(SEARCH(LOWER(Estimation!$B$18),F513)),1,0))</f>
        <v>0</v>
      </c>
      <c r="H513" s="5" t="str">
        <f>IF(G513=1,SUM($G$4:G513),"")</f>
        <v/>
      </c>
    </row>
    <row r="514" spans="1:8" x14ac:dyDescent="0.35">
      <c r="A514" s="56" t="s">
        <v>1681</v>
      </c>
      <c r="B514" s="56" t="s">
        <v>2062</v>
      </c>
      <c r="C514" s="56" t="s">
        <v>2063</v>
      </c>
      <c r="D514" s="39">
        <v>184</v>
      </c>
      <c r="E514" s="56" t="s">
        <v>2064</v>
      </c>
      <c r="F514" s="55" t="s">
        <v>2065</v>
      </c>
      <c r="G514" s="5">
        <f>IF(Estimation!$B$18="",0,IF(ISNUMBER(SEARCH(LOWER(Estimation!$B$18),F514)),1,0))</f>
        <v>0</v>
      </c>
      <c r="H514" s="5" t="str">
        <f>IF(G514=1,SUM($G$4:G514),"")</f>
        <v/>
      </c>
    </row>
    <row r="515" spans="1:8" x14ac:dyDescent="0.35">
      <c r="A515" s="56" t="s">
        <v>1681</v>
      </c>
      <c r="B515" s="56" t="s">
        <v>2066</v>
      </c>
      <c r="C515" s="56" t="s">
        <v>2067</v>
      </c>
      <c r="D515" s="39">
        <v>240</v>
      </c>
      <c r="E515" s="56" t="s">
        <v>2068</v>
      </c>
      <c r="F515" s="55" t="s">
        <v>2069</v>
      </c>
      <c r="G515" s="5">
        <f>IF(Estimation!$B$18="",0,IF(ISNUMBER(SEARCH(LOWER(Estimation!$B$18),F515)),1,0))</f>
        <v>0</v>
      </c>
      <c r="H515" s="5" t="str">
        <f>IF(G515=1,SUM($G$4:G515),"")</f>
        <v/>
      </c>
    </row>
    <row r="516" spans="1:8" x14ac:dyDescent="0.35">
      <c r="A516" s="56" t="s">
        <v>1681</v>
      </c>
      <c r="B516" s="56" t="s">
        <v>2070</v>
      </c>
      <c r="C516" s="56" t="s">
        <v>2071</v>
      </c>
      <c r="D516" s="39">
        <v>240</v>
      </c>
      <c r="E516" s="56" t="s">
        <v>2072</v>
      </c>
      <c r="F516" s="55" t="s">
        <v>2073</v>
      </c>
      <c r="G516" s="5">
        <f>IF(Estimation!$B$18="",0,IF(ISNUMBER(SEARCH(LOWER(Estimation!$B$18),F516)),1,0))</f>
        <v>0</v>
      </c>
      <c r="H516" s="5" t="str">
        <f>IF(G516=1,SUM($G$4:G516),"")</f>
        <v/>
      </c>
    </row>
    <row r="517" spans="1:8" x14ac:dyDescent="0.35">
      <c r="A517" s="56" t="s">
        <v>1681</v>
      </c>
      <c r="B517" s="56" t="s">
        <v>2074</v>
      </c>
      <c r="C517" s="56" t="s">
        <v>2075</v>
      </c>
      <c r="D517" s="39">
        <v>240</v>
      </c>
      <c r="E517" s="56" t="s">
        <v>2076</v>
      </c>
      <c r="F517" s="55" t="s">
        <v>2077</v>
      </c>
      <c r="G517" s="5">
        <f>IF(Estimation!$B$18="",0,IF(ISNUMBER(SEARCH(LOWER(Estimation!$B$18),F517)),1,0))</f>
        <v>0</v>
      </c>
      <c r="H517" s="5" t="str">
        <f>IF(G517=1,SUM($G$4:G517),"")</f>
        <v/>
      </c>
    </row>
    <row r="518" spans="1:8" x14ac:dyDescent="0.35">
      <c r="A518" s="56" t="s">
        <v>1681</v>
      </c>
      <c r="B518" s="56" t="s">
        <v>2078</v>
      </c>
      <c r="C518" s="56" t="s">
        <v>2079</v>
      </c>
      <c r="D518" s="39">
        <v>260</v>
      </c>
      <c r="E518" s="56" t="s">
        <v>2080</v>
      </c>
      <c r="F518" s="55" t="s">
        <v>2081</v>
      </c>
      <c r="G518" s="5">
        <f>IF(Estimation!$B$18="",0,IF(ISNUMBER(SEARCH(LOWER(Estimation!$B$18),F518)),1,0))</f>
        <v>0</v>
      </c>
      <c r="H518" s="5" t="str">
        <f>IF(G518=1,SUM($G$4:G518),"")</f>
        <v/>
      </c>
    </row>
    <row r="519" spans="1:8" x14ac:dyDescent="0.35">
      <c r="A519" s="56" t="s">
        <v>1681</v>
      </c>
      <c r="B519" s="56" t="s">
        <v>2082</v>
      </c>
      <c r="C519" s="56" t="s">
        <v>2083</v>
      </c>
      <c r="D519" s="39">
        <v>502</v>
      </c>
      <c r="E519" s="56" t="s">
        <v>2084</v>
      </c>
      <c r="F519" s="55" t="s">
        <v>2085</v>
      </c>
      <c r="G519" s="5">
        <f>IF(Estimation!$B$18="",0,IF(ISNUMBER(SEARCH(LOWER(Estimation!$B$18),F519)),1,0))</f>
        <v>0</v>
      </c>
      <c r="H519" s="5" t="str">
        <f>IF(G519=1,SUM($G$4:G519),"")</f>
        <v/>
      </c>
    </row>
    <row r="520" spans="1:8" x14ac:dyDescent="0.35">
      <c r="A520" s="56" t="s">
        <v>1681</v>
      </c>
      <c r="B520" s="56" t="s">
        <v>2086</v>
      </c>
      <c r="C520" s="56" t="s">
        <v>2087</v>
      </c>
      <c r="D520" s="39">
        <v>22</v>
      </c>
      <c r="E520" s="56" t="s">
        <v>2088</v>
      </c>
      <c r="F520" s="55" t="s">
        <v>2089</v>
      </c>
      <c r="G520" s="5">
        <f>IF(Estimation!$B$18="",0,IF(ISNUMBER(SEARCH(LOWER(Estimation!$B$18),F520)),1,0))</f>
        <v>0</v>
      </c>
      <c r="H520" s="5" t="str">
        <f>IF(G520=1,SUM($G$4:G520),"")</f>
        <v/>
      </c>
    </row>
    <row r="521" spans="1:8" x14ac:dyDescent="0.35">
      <c r="A521" s="56" t="s">
        <v>1681</v>
      </c>
      <c r="B521" s="56" t="s">
        <v>2090</v>
      </c>
      <c r="C521" s="56" t="s">
        <v>2091</v>
      </c>
      <c r="D521" s="39">
        <v>21</v>
      </c>
      <c r="E521" s="56" t="s">
        <v>2092</v>
      </c>
      <c r="F521" s="55" t="s">
        <v>2093</v>
      </c>
      <c r="G521" s="5">
        <f>IF(Estimation!$B$18="",0,IF(ISNUMBER(SEARCH(LOWER(Estimation!$B$18),F521)),1,0))</f>
        <v>0</v>
      </c>
      <c r="H521" s="5" t="str">
        <f>IF(G521=1,SUM($G$4:G521),"")</f>
        <v/>
      </c>
    </row>
    <row r="522" spans="1:8" x14ac:dyDescent="0.35">
      <c r="A522" s="56" t="s">
        <v>1681</v>
      </c>
      <c r="B522" s="56" t="s">
        <v>2094</v>
      </c>
      <c r="C522" s="56" t="s">
        <v>2095</v>
      </c>
      <c r="D522" s="39">
        <v>184</v>
      </c>
      <c r="E522" s="56" t="s">
        <v>2096</v>
      </c>
      <c r="F522" s="55" t="s">
        <v>2097</v>
      </c>
      <c r="G522" s="5">
        <f>IF(Estimation!$B$18="",0,IF(ISNUMBER(SEARCH(LOWER(Estimation!$B$18),F522)),1,0))</f>
        <v>0</v>
      </c>
      <c r="H522" s="5" t="str">
        <f>IF(G522=1,SUM($G$4:G522),"")</f>
        <v/>
      </c>
    </row>
    <row r="523" spans="1:8" x14ac:dyDescent="0.35">
      <c r="A523" s="56" t="s">
        <v>1681</v>
      </c>
      <c r="B523" s="56" t="s">
        <v>2098</v>
      </c>
      <c r="C523" s="56" t="s">
        <v>2099</v>
      </c>
      <c r="D523" s="39">
        <v>502</v>
      </c>
      <c r="E523" s="56" t="s">
        <v>2100</v>
      </c>
      <c r="F523" s="55" t="s">
        <v>2101</v>
      </c>
      <c r="G523" s="5">
        <f>IF(Estimation!$B$18="",0,IF(ISNUMBER(SEARCH(LOWER(Estimation!$B$18),F523)),1,0))</f>
        <v>0</v>
      </c>
      <c r="H523" s="5" t="str">
        <f>IF(G523=1,SUM($G$4:G523),"")</f>
        <v/>
      </c>
    </row>
    <row r="524" spans="1:8" x14ac:dyDescent="0.35">
      <c r="A524" s="56" t="s">
        <v>1681</v>
      </c>
      <c r="B524" s="56" t="s">
        <v>2102</v>
      </c>
      <c r="C524" s="56" t="s">
        <v>2103</v>
      </c>
      <c r="D524" s="39">
        <v>22</v>
      </c>
      <c r="E524" s="56" t="s">
        <v>2104</v>
      </c>
      <c r="F524" s="55" t="s">
        <v>2105</v>
      </c>
      <c r="G524" s="5">
        <f>IF(Estimation!$B$18="",0,IF(ISNUMBER(SEARCH(LOWER(Estimation!$B$18),F524)),1,0))</f>
        <v>0</v>
      </c>
      <c r="H524" s="5" t="str">
        <f>IF(G524=1,SUM($G$4:G524),"")</f>
        <v/>
      </c>
    </row>
    <row r="525" spans="1:8" x14ac:dyDescent="0.35">
      <c r="A525" s="56" t="s">
        <v>1681</v>
      </c>
      <c r="B525" s="56" t="s">
        <v>2106</v>
      </c>
      <c r="C525" s="56" t="s">
        <v>2107</v>
      </c>
      <c r="D525" s="39">
        <v>161</v>
      </c>
      <c r="E525" s="56" t="s">
        <v>2108</v>
      </c>
      <c r="F525" s="55" t="s">
        <v>2109</v>
      </c>
      <c r="G525" s="5">
        <f>IF(Estimation!$B$18="",0,IF(ISNUMBER(SEARCH(LOWER(Estimation!$B$18),F525)),1,0))</f>
        <v>0</v>
      </c>
      <c r="H525" s="5" t="str">
        <f>IF(G525=1,SUM($G$4:G525),"")</f>
        <v/>
      </c>
    </row>
    <row r="526" spans="1:8" x14ac:dyDescent="0.35">
      <c r="A526" s="56" t="s">
        <v>1681</v>
      </c>
      <c r="B526" s="56" t="s">
        <v>2110</v>
      </c>
      <c r="C526" s="56" t="s">
        <v>2111</v>
      </c>
      <c r="D526" s="39">
        <v>229</v>
      </c>
      <c r="E526" s="56" t="s">
        <v>2112</v>
      </c>
      <c r="F526" s="55" t="s">
        <v>2113</v>
      </c>
      <c r="G526" s="5">
        <f>IF(Estimation!$B$18="",0,IF(ISNUMBER(SEARCH(LOWER(Estimation!$B$18),F526)),1,0))</f>
        <v>0</v>
      </c>
      <c r="H526" s="5" t="str">
        <f>IF(G526=1,SUM($G$4:G526),"")</f>
        <v/>
      </c>
    </row>
    <row r="527" spans="1:8" x14ac:dyDescent="0.35">
      <c r="A527" s="56" t="s">
        <v>1681</v>
      </c>
      <c r="B527" s="56" t="s">
        <v>2114</v>
      </c>
      <c r="C527" s="56" t="s">
        <v>2115</v>
      </c>
      <c r="D527" s="39">
        <v>298</v>
      </c>
      <c r="E527" s="56" t="s">
        <v>2116</v>
      </c>
      <c r="F527" s="55" t="s">
        <v>2117</v>
      </c>
      <c r="G527" s="5">
        <f>IF(Estimation!$B$18="",0,IF(ISNUMBER(SEARCH(LOWER(Estimation!$B$18),F527)),1,0))</f>
        <v>0</v>
      </c>
      <c r="H527" s="5" t="str">
        <f>IF(G527=1,SUM($G$4:G527),"")</f>
        <v/>
      </c>
    </row>
    <row r="528" spans="1:8" x14ac:dyDescent="0.35">
      <c r="A528" s="56" t="s">
        <v>1681</v>
      </c>
      <c r="B528" s="56" t="s">
        <v>2118</v>
      </c>
      <c r="C528" s="56" t="s">
        <v>2119</v>
      </c>
      <c r="D528" s="39">
        <v>161</v>
      </c>
      <c r="E528" s="56" t="s">
        <v>2120</v>
      </c>
      <c r="F528" s="55" t="s">
        <v>2121</v>
      </c>
      <c r="G528" s="5">
        <f>IF(Estimation!$B$18="",0,IF(ISNUMBER(SEARCH(LOWER(Estimation!$B$18),F528)),1,0))</f>
        <v>0</v>
      </c>
      <c r="H528" s="5" t="str">
        <f>IF(G528=1,SUM($G$4:G528),"")</f>
        <v/>
      </c>
    </row>
    <row r="529" spans="1:8" x14ac:dyDescent="0.35">
      <c r="A529" s="56" t="s">
        <v>1681</v>
      </c>
      <c r="B529" s="56" t="s">
        <v>2122</v>
      </c>
      <c r="C529" s="56" t="s">
        <v>2123</v>
      </c>
      <c r="D529" s="39">
        <v>170</v>
      </c>
      <c r="E529" s="56" t="s">
        <v>2124</v>
      </c>
      <c r="F529" s="55" t="s">
        <v>2125</v>
      </c>
      <c r="G529" s="5">
        <f>IF(Estimation!$B$18="",0,IF(ISNUMBER(SEARCH(LOWER(Estimation!$B$18),F529)),1,0))</f>
        <v>0</v>
      </c>
      <c r="H529" s="5" t="str">
        <f>IF(G529=1,SUM($G$4:G529),"")</f>
        <v/>
      </c>
    </row>
    <row r="530" spans="1:8" x14ac:dyDescent="0.35">
      <c r="A530" s="56" t="s">
        <v>1681</v>
      </c>
      <c r="B530" s="56" t="s">
        <v>2126</v>
      </c>
      <c r="C530" s="56" t="s">
        <v>2127</v>
      </c>
      <c r="D530" s="39">
        <v>122</v>
      </c>
      <c r="E530" s="56" t="s">
        <v>2128</v>
      </c>
      <c r="F530" s="55" t="s">
        <v>2129</v>
      </c>
      <c r="G530" s="5">
        <f>IF(Estimation!$B$18="",0,IF(ISNUMBER(SEARCH(LOWER(Estimation!$B$18),F530)),1,0))</f>
        <v>0</v>
      </c>
      <c r="H530" s="5" t="str">
        <f>IF(G530=1,SUM($G$4:G530),"")</f>
        <v/>
      </c>
    </row>
    <row r="531" spans="1:8" x14ac:dyDescent="0.35">
      <c r="A531" s="56" t="s">
        <v>1681</v>
      </c>
      <c r="B531" s="56" t="s">
        <v>2130</v>
      </c>
      <c r="C531" s="56" t="s">
        <v>2131</v>
      </c>
      <c r="D531" s="39">
        <v>143</v>
      </c>
      <c r="E531" s="56" t="s">
        <v>2132</v>
      </c>
      <c r="F531" s="55" t="s">
        <v>2133</v>
      </c>
      <c r="G531" s="5">
        <f>IF(Estimation!$B$18="",0,IF(ISNUMBER(SEARCH(LOWER(Estimation!$B$18),F531)),1,0))</f>
        <v>0</v>
      </c>
      <c r="H531" s="5" t="str">
        <f>IF(G531=1,SUM($G$4:G531),"")</f>
        <v/>
      </c>
    </row>
    <row r="532" spans="1:8" x14ac:dyDescent="0.35">
      <c r="A532" s="56" t="s">
        <v>1681</v>
      </c>
      <c r="B532" s="56" t="s">
        <v>2134</v>
      </c>
      <c r="C532" s="56" t="s">
        <v>2135</v>
      </c>
      <c r="D532" s="39">
        <v>381</v>
      </c>
      <c r="E532" s="56" t="s">
        <v>2136</v>
      </c>
      <c r="F532" s="55" t="s">
        <v>2137</v>
      </c>
      <c r="G532" s="5">
        <f>IF(Estimation!$B$18="",0,IF(ISNUMBER(SEARCH(LOWER(Estimation!$B$18),F532)),1,0))</f>
        <v>0</v>
      </c>
      <c r="H532" s="5" t="str">
        <f>IF(G532=1,SUM($G$4:G532),"")</f>
        <v/>
      </c>
    </row>
    <row r="533" spans="1:8" x14ac:dyDescent="0.35">
      <c r="A533" s="56" t="s">
        <v>1681</v>
      </c>
      <c r="B533" s="56" t="s">
        <v>2138</v>
      </c>
      <c r="C533" s="56" t="s">
        <v>2139</v>
      </c>
      <c r="D533" s="39">
        <v>399</v>
      </c>
      <c r="E533" s="56" t="s">
        <v>2140</v>
      </c>
      <c r="F533" s="55" t="s">
        <v>2141</v>
      </c>
      <c r="G533" s="5">
        <f>IF(Estimation!$B$18="",0,IF(ISNUMBER(SEARCH(LOWER(Estimation!$B$18),F533)),1,0))</f>
        <v>0</v>
      </c>
      <c r="H533" s="5" t="str">
        <f>IF(G533=1,SUM($G$4:G533),"")</f>
        <v/>
      </c>
    </row>
    <row r="534" spans="1:8" x14ac:dyDescent="0.35">
      <c r="A534" s="56" t="s">
        <v>1681</v>
      </c>
      <c r="B534" s="56" t="s">
        <v>2142</v>
      </c>
      <c r="C534" s="56" t="s">
        <v>2143</v>
      </c>
      <c r="D534" s="39">
        <v>171</v>
      </c>
      <c r="E534" s="56" t="s">
        <v>2144</v>
      </c>
      <c r="F534" s="55" t="s">
        <v>2145</v>
      </c>
      <c r="G534" s="5">
        <f>IF(Estimation!$B$18="",0,IF(ISNUMBER(SEARCH(LOWER(Estimation!$B$18),F534)),1,0))</f>
        <v>0</v>
      </c>
      <c r="H534" s="5" t="str">
        <f>IF(G534=1,SUM($G$4:G534),"")</f>
        <v/>
      </c>
    </row>
    <row r="535" spans="1:8" x14ac:dyDescent="0.35">
      <c r="A535" s="56" t="s">
        <v>1681</v>
      </c>
      <c r="B535" s="56" t="s">
        <v>2146</v>
      </c>
      <c r="C535" s="56" t="s">
        <v>2147</v>
      </c>
      <c r="D535" s="39">
        <v>190</v>
      </c>
      <c r="E535" s="56" t="s">
        <v>2148</v>
      </c>
      <c r="F535" s="55" t="s">
        <v>2149</v>
      </c>
      <c r="G535" s="5">
        <f>IF(Estimation!$B$18="",0,IF(ISNUMBER(SEARCH(LOWER(Estimation!$B$18),F535)),1,0))</f>
        <v>0</v>
      </c>
      <c r="H535" s="5" t="str">
        <f>IF(G535=1,SUM($G$4:G535),"")</f>
        <v/>
      </c>
    </row>
    <row r="536" spans="1:8" x14ac:dyDescent="0.35">
      <c r="A536" s="56" t="s">
        <v>1681</v>
      </c>
      <c r="B536" s="56" t="s">
        <v>2150</v>
      </c>
      <c r="C536" s="56" t="s">
        <v>2151</v>
      </c>
      <c r="D536" s="39">
        <v>36</v>
      </c>
      <c r="E536" s="56" t="s">
        <v>2152</v>
      </c>
      <c r="F536" s="55" t="s">
        <v>2153</v>
      </c>
      <c r="G536" s="5">
        <f>IF(Estimation!$B$18="",0,IF(ISNUMBER(SEARCH(LOWER(Estimation!$B$18),F536)),1,0))</f>
        <v>0</v>
      </c>
      <c r="H536" s="5" t="str">
        <f>IF(G536=1,SUM($G$4:G536),"")</f>
        <v/>
      </c>
    </row>
    <row r="537" spans="1:8" x14ac:dyDescent="0.35">
      <c r="A537" s="56" t="s">
        <v>1681</v>
      </c>
      <c r="B537" s="56" t="s">
        <v>2154</v>
      </c>
      <c r="C537" s="56" t="s">
        <v>2155</v>
      </c>
      <c r="D537" s="39">
        <v>79</v>
      </c>
      <c r="E537" s="56" t="s">
        <v>2156</v>
      </c>
      <c r="F537" s="55" t="s">
        <v>2157</v>
      </c>
      <c r="G537" s="5">
        <f>IF(Estimation!$B$18="",0,IF(ISNUMBER(SEARCH(LOWER(Estimation!$B$18),F537)),1,0))</f>
        <v>0</v>
      </c>
      <c r="H537" s="5" t="str">
        <f>IF(G537=1,SUM($G$4:G537),"")</f>
        <v/>
      </c>
    </row>
    <row r="538" spans="1:8" x14ac:dyDescent="0.35">
      <c r="A538" s="56" t="s">
        <v>1681</v>
      </c>
      <c r="B538" s="56" t="s">
        <v>2158</v>
      </c>
      <c r="C538" s="56" t="s">
        <v>2159</v>
      </c>
      <c r="D538" s="39">
        <v>205</v>
      </c>
      <c r="E538" s="56" t="s">
        <v>2160</v>
      </c>
      <c r="F538" s="55" t="s">
        <v>2161</v>
      </c>
      <c r="G538" s="5">
        <f>IF(Estimation!$B$18="",0,IF(ISNUMBER(SEARCH(LOWER(Estimation!$B$18),F538)),1,0))</f>
        <v>0</v>
      </c>
      <c r="H538" s="5" t="str">
        <f>IF(G538=1,SUM($G$4:G538),"")</f>
        <v/>
      </c>
    </row>
    <row r="539" spans="1:8" x14ac:dyDescent="0.35">
      <c r="A539" s="56" t="s">
        <v>1681</v>
      </c>
      <c r="B539" s="56" t="s">
        <v>2162</v>
      </c>
      <c r="C539" s="56" t="s">
        <v>2163</v>
      </c>
      <c r="D539" s="39">
        <v>524</v>
      </c>
      <c r="E539" s="56" t="s">
        <v>2164</v>
      </c>
      <c r="F539" s="55" t="s">
        <v>2165</v>
      </c>
      <c r="G539" s="5">
        <f>IF(Estimation!$B$18="",0,IF(ISNUMBER(SEARCH(LOWER(Estimation!$B$18),F539)),1,0))</f>
        <v>0</v>
      </c>
      <c r="H539" s="5" t="str">
        <f>IF(G539=1,SUM($G$4:G539),"")</f>
        <v/>
      </c>
    </row>
    <row r="540" spans="1:8" x14ac:dyDescent="0.35">
      <c r="A540" s="56" t="s">
        <v>1681</v>
      </c>
      <c r="B540" s="56" t="s">
        <v>2166</v>
      </c>
      <c r="C540" s="56" t="s">
        <v>2167</v>
      </c>
      <c r="D540" s="39">
        <v>758</v>
      </c>
      <c r="E540" s="56" t="s">
        <v>2168</v>
      </c>
      <c r="F540" s="55" t="s">
        <v>2169</v>
      </c>
      <c r="G540" s="5">
        <f>IF(Estimation!$B$18="",0,IF(ISNUMBER(SEARCH(LOWER(Estimation!$B$18),F540)),1,0))</f>
        <v>0</v>
      </c>
      <c r="H540" s="5" t="str">
        <f>IF(G540=1,SUM($G$4:G540),"")</f>
        <v/>
      </c>
    </row>
    <row r="541" spans="1:8" x14ac:dyDescent="0.35">
      <c r="A541" s="56" t="s">
        <v>1681</v>
      </c>
      <c r="B541" s="56" t="s">
        <v>2170</v>
      </c>
      <c r="C541" s="56" t="s">
        <v>2171</v>
      </c>
      <c r="D541" s="39">
        <v>1094</v>
      </c>
      <c r="E541" s="56" t="s">
        <v>2172</v>
      </c>
      <c r="F541" s="55" t="s">
        <v>2173</v>
      </c>
      <c r="G541" s="5">
        <f>IF(Estimation!$B$18="",0,IF(ISNUMBER(SEARCH(LOWER(Estimation!$B$18),F541)),1,0))</f>
        <v>0</v>
      </c>
      <c r="H541" s="5" t="str">
        <f>IF(G541=1,SUM($G$4:G541),"")</f>
        <v/>
      </c>
    </row>
    <row r="542" spans="1:8" x14ac:dyDescent="0.35">
      <c r="A542" s="56" t="s">
        <v>1681</v>
      </c>
      <c r="B542" s="56" t="s">
        <v>2174</v>
      </c>
      <c r="C542" s="56" t="s">
        <v>2175</v>
      </c>
      <c r="D542" s="39">
        <v>190</v>
      </c>
      <c r="E542" s="56" t="s">
        <v>2176</v>
      </c>
      <c r="F542" s="55" t="s">
        <v>2177</v>
      </c>
      <c r="G542" s="5">
        <f>IF(Estimation!$B$18="",0,IF(ISNUMBER(SEARCH(LOWER(Estimation!$B$18),F542)),1,0))</f>
        <v>0</v>
      </c>
      <c r="H542" s="5" t="str">
        <f>IF(G542=1,SUM($G$4:G542),"")</f>
        <v/>
      </c>
    </row>
    <row r="543" spans="1:8" x14ac:dyDescent="0.35">
      <c r="A543" s="56" t="s">
        <v>1681</v>
      </c>
      <c r="B543" s="56" t="s">
        <v>2178</v>
      </c>
      <c r="C543" s="56" t="s">
        <v>2179</v>
      </c>
      <c r="D543" s="39">
        <v>158</v>
      </c>
      <c r="E543" s="56" t="s">
        <v>2180</v>
      </c>
      <c r="F543" s="55" t="s">
        <v>2181</v>
      </c>
      <c r="G543" s="5">
        <f>IF(Estimation!$B$18="",0,IF(ISNUMBER(SEARCH(LOWER(Estimation!$B$18),F543)),1,0))</f>
        <v>0</v>
      </c>
      <c r="H543" s="5" t="str">
        <f>IF(G543=1,SUM($G$4:G543),"")</f>
        <v/>
      </c>
    </row>
    <row r="544" spans="1:8" x14ac:dyDescent="0.35">
      <c r="A544" s="56" t="s">
        <v>1681</v>
      </c>
      <c r="B544" s="56" t="s">
        <v>2182</v>
      </c>
      <c r="C544" s="56" t="s">
        <v>2183</v>
      </c>
      <c r="D544" s="39">
        <v>195</v>
      </c>
      <c r="E544" s="56" t="s">
        <v>2184</v>
      </c>
      <c r="F544" s="55" t="s">
        <v>2185</v>
      </c>
      <c r="G544" s="5">
        <f>IF(Estimation!$B$18="",0,IF(ISNUMBER(SEARCH(LOWER(Estimation!$B$18),F544)),1,0))</f>
        <v>0</v>
      </c>
      <c r="H544" s="5" t="str">
        <f>IF(G544=1,SUM($G$4:G544),"")</f>
        <v/>
      </c>
    </row>
    <row r="545" spans="1:8" x14ac:dyDescent="0.35">
      <c r="A545" s="56" t="s">
        <v>1681</v>
      </c>
      <c r="B545" s="56" t="s">
        <v>2186</v>
      </c>
      <c r="C545" s="56" t="s">
        <v>2187</v>
      </c>
      <c r="D545" s="39">
        <v>744</v>
      </c>
      <c r="E545" s="56" t="s">
        <v>2188</v>
      </c>
      <c r="F545" s="55" t="s">
        <v>2189</v>
      </c>
      <c r="G545" s="5">
        <f>IF(Estimation!$B$18="",0,IF(ISNUMBER(SEARCH(LOWER(Estimation!$B$18),F545)),1,0))</f>
        <v>0</v>
      </c>
      <c r="H545" s="5" t="str">
        <f>IF(G545=1,SUM($G$4:G545),"")</f>
        <v/>
      </c>
    </row>
    <row r="546" spans="1:8" x14ac:dyDescent="0.35">
      <c r="A546" s="56" t="s">
        <v>1681</v>
      </c>
      <c r="B546" s="56" t="s">
        <v>2190</v>
      </c>
      <c r="C546" s="56" t="s">
        <v>2191</v>
      </c>
      <c r="D546" s="39">
        <v>2873</v>
      </c>
      <c r="E546" s="56" t="s">
        <v>2192</v>
      </c>
      <c r="F546" s="55" t="s">
        <v>2193</v>
      </c>
      <c r="G546" s="5">
        <f>IF(Estimation!$B$18="",0,IF(ISNUMBER(SEARCH(LOWER(Estimation!$B$18),F546)),1,0))</f>
        <v>0</v>
      </c>
      <c r="H546" s="5" t="str">
        <f>IF(G546=1,SUM($G$4:G546),"")</f>
        <v/>
      </c>
    </row>
    <row r="547" spans="1:8" x14ac:dyDescent="0.35">
      <c r="A547" s="56" t="s">
        <v>1681</v>
      </c>
      <c r="B547" s="56" t="s">
        <v>2194</v>
      </c>
      <c r="C547" s="56" t="s">
        <v>2195</v>
      </c>
      <c r="D547" s="39">
        <v>2873</v>
      </c>
      <c r="E547" s="56" t="s">
        <v>2196</v>
      </c>
      <c r="F547" s="55" t="s">
        <v>2197</v>
      </c>
      <c r="G547" s="5">
        <f>IF(Estimation!$B$18="",0,IF(ISNUMBER(SEARCH(LOWER(Estimation!$B$18),F547)),1,0))</f>
        <v>0</v>
      </c>
      <c r="H547" s="5" t="str">
        <f>IF(G547=1,SUM($G$4:G547),"")</f>
        <v/>
      </c>
    </row>
    <row r="548" spans="1:8" x14ac:dyDescent="0.35">
      <c r="A548" s="56" t="s">
        <v>1681</v>
      </c>
      <c r="B548" s="56" t="s">
        <v>2198</v>
      </c>
      <c r="C548" s="56" t="s">
        <v>2199</v>
      </c>
      <c r="D548" s="39">
        <v>2840</v>
      </c>
      <c r="E548" s="56" t="s">
        <v>2200</v>
      </c>
      <c r="F548" s="55" t="s">
        <v>2201</v>
      </c>
      <c r="G548" s="5">
        <f>IF(Estimation!$B$18="",0,IF(ISNUMBER(SEARCH(LOWER(Estimation!$B$18),F548)),1,0))</f>
        <v>0</v>
      </c>
      <c r="H548" s="5" t="str">
        <f>IF(G548=1,SUM($G$4:G548),"")</f>
        <v/>
      </c>
    </row>
    <row r="549" spans="1:8" x14ac:dyDescent="0.35">
      <c r="A549" s="56" t="s">
        <v>1681</v>
      </c>
      <c r="B549" s="56" t="s">
        <v>2202</v>
      </c>
      <c r="C549" s="56" t="s">
        <v>2203</v>
      </c>
      <c r="D549" s="39">
        <v>3363</v>
      </c>
      <c r="E549" s="56" t="s">
        <v>2204</v>
      </c>
      <c r="F549" s="55" t="s">
        <v>2205</v>
      </c>
      <c r="G549" s="5">
        <f>IF(Estimation!$B$18="",0,IF(ISNUMBER(SEARCH(LOWER(Estimation!$B$18),F549)),1,0))</f>
        <v>0</v>
      </c>
      <c r="H549" s="5" t="str">
        <f>IF(G549=1,SUM($G$4:G549),"")</f>
        <v/>
      </c>
    </row>
    <row r="550" spans="1:8" x14ac:dyDescent="0.35">
      <c r="A550" s="56" t="s">
        <v>1681</v>
      </c>
      <c r="B550" s="56" t="s">
        <v>2206</v>
      </c>
      <c r="C550" s="56" t="s">
        <v>2207</v>
      </c>
      <c r="D550" s="39">
        <v>3363</v>
      </c>
      <c r="E550" s="56" t="s">
        <v>2208</v>
      </c>
      <c r="F550" s="55" t="s">
        <v>2209</v>
      </c>
      <c r="G550" s="5">
        <f>IF(Estimation!$B$18="",0,IF(ISNUMBER(SEARCH(LOWER(Estimation!$B$18),F550)),1,0))</f>
        <v>0</v>
      </c>
      <c r="H550" s="5" t="str">
        <f>IF(G550=1,SUM($G$4:G550),"")</f>
        <v/>
      </c>
    </row>
    <row r="551" spans="1:8" x14ac:dyDescent="0.35">
      <c r="A551" s="56" t="s">
        <v>1681</v>
      </c>
      <c r="B551" s="56" t="s">
        <v>2210</v>
      </c>
      <c r="C551" s="56" t="s">
        <v>2211</v>
      </c>
      <c r="D551" s="39">
        <v>986</v>
      </c>
      <c r="E551" s="56" t="s">
        <v>2212</v>
      </c>
      <c r="F551" s="55" t="s">
        <v>2213</v>
      </c>
      <c r="G551" s="5">
        <f>IF(Estimation!$B$18="",0,IF(ISNUMBER(SEARCH(LOWER(Estimation!$B$18),F551)),1,0))</f>
        <v>0</v>
      </c>
      <c r="H551" s="5" t="str">
        <f>IF(G551=1,SUM($G$4:G551),"")</f>
        <v/>
      </c>
    </row>
    <row r="552" spans="1:8" x14ac:dyDescent="0.35">
      <c r="A552" s="56" t="s">
        <v>1681</v>
      </c>
      <c r="B552" s="56" t="s">
        <v>2214</v>
      </c>
      <c r="C552" s="56" t="s">
        <v>2215</v>
      </c>
      <c r="D552" s="39">
        <v>1361</v>
      </c>
      <c r="E552" s="56" t="s">
        <v>2216</v>
      </c>
      <c r="F552" s="55" t="s">
        <v>2217</v>
      </c>
      <c r="G552" s="5">
        <f>IF(Estimation!$B$18="",0,IF(ISNUMBER(SEARCH(LOWER(Estimation!$B$18),F552)),1,0))</f>
        <v>0</v>
      </c>
      <c r="H552" s="5" t="str">
        <f>IF(G552=1,SUM($G$4:G552),"")</f>
        <v/>
      </c>
    </row>
    <row r="553" spans="1:8" x14ac:dyDescent="0.35">
      <c r="A553" s="56" t="s">
        <v>1681</v>
      </c>
      <c r="B553" s="56" t="s">
        <v>2218</v>
      </c>
      <c r="C553" s="56" t="s">
        <v>2219</v>
      </c>
      <c r="D553" s="39">
        <v>4532</v>
      </c>
      <c r="E553" s="56" t="s">
        <v>2220</v>
      </c>
      <c r="F553" s="55" t="s">
        <v>2221</v>
      </c>
      <c r="G553" s="5">
        <f>IF(Estimation!$B$18="",0,IF(ISNUMBER(SEARCH(LOWER(Estimation!$B$18),F553)),1,0))</f>
        <v>0</v>
      </c>
      <c r="H553" s="5" t="str">
        <f>IF(G553=1,SUM($G$4:G553),"")</f>
        <v/>
      </c>
    </row>
    <row r="554" spans="1:8" x14ac:dyDescent="0.35">
      <c r="A554" s="56" t="s">
        <v>1681</v>
      </c>
      <c r="B554" s="56" t="s">
        <v>2222</v>
      </c>
      <c r="C554" s="56" t="s">
        <v>2223</v>
      </c>
      <c r="D554" s="39">
        <v>1287</v>
      </c>
      <c r="E554" s="56" t="s">
        <v>2224</v>
      </c>
      <c r="F554" s="55" t="s">
        <v>2225</v>
      </c>
      <c r="G554" s="5">
        <f>IF(Estimation!$B$18="",0,IF(ISNUMBER(SEARCH(LOWER(Estimation!$B$18),F554)),1,0))</f>
        <v>0</v>
      </c>
      <c r="H554" s="5" t="str">
        <f>IF(G554=1,SUM($G$4:G554),"")</f>
        <v/>
      </c>
    </row>
    <row r="555" spans="1:8" x14ac:dyDescent="0.35">
      <c r="A555" s="56" t="s">
        <v>1681</v>
      </c>
      <c r="B555" s="56" t="s">
        <v>2226</v>
      </c>
      <c r="C555" s="56" t="s">
        <v>2227</v>
      </c>
      <c r="D555" s="39">
        <v>1740</v>
      </c>
      <c r="E555" s="56" t="s">
        <v>2228</v>
      </c>
      <c r="F555" s="55" t="s">
        <v>2229</v>
      </c>
      <c r="G555" s="5">
        <f>IF(Estimation!$B$18="",0,IF(ISNUMBER(SEARCH(LOWER(Estimation!$B$18),F555)),1,0))</f>
        <v>0</v>
      </c>
      <c r="H555" s="5" t="str">
        <f>IF(G555=1,SUM($G$4:G555),"")</f>
        <v/>
      </c>
    </row>
    <row r="556" spans="1:8" x14ac:dyDescent="0.35">
      <c r="A556" s="56" t="s">
        <v>1681</v>
      </c>
      <c r="B556" s="56" t="s">
        <v>2230</v>
      </c>
      <c r="C556" s="56" t="s">
        <v>2231</v>
      </c>
      <c r="D556" s="39">
        <v>5286</v>
      </c>
      <c r="E556" s="56" t="s">
        <v>2232</v>
      </c>
      <c r="F556" s="55" t="s">
        <v>2233</v>
      </c>
      <c r="G556" s="5">
        <f>IF(Estimation!$B$18="",0,IF(ISNUMBER(SEARCH(LOWER(Estimation!$B$18),F556)),1,0))</f>
        <v>0</v>
      </c>
      <c r="H556" s="5" t="str">
        <f>IF(G556=1,SUM($G$4:G556),"")</f>
        <v/>
      </c>
    </row>
    <row r="557" spans="1:8" x14ac:dyDescent="0.35">
      <c r="A557" s="56" t="s">
        <v>1681</v>
      </c>
      <c r="B557" s="56" t="s">
        <v>2234</v>
      </c>
      <c r="C557" s="56" t="s">
        <v>2235</v>
      </c>
      <c r="D557" s="39">
        <v>455</v>
      </c>
      <c r="E557" s="56" t="s">
        <v>2236</v>
      </c>
      <c r="F557" s="55" t="s">
        <v>2237</v>
      </c>
      <c r="G557" s="5">
        <f>IF(Estimation!$B$18="",0,IF(ISNUMBER(SEARCH(LOWER(Estimation!$B$18),F557)),1,0))</f>
        <v>0</v>
      </c>
      <c r="H557" s="5" t="str">
        <f>IF(G557=1,SUM($G$4:G557),"")</f>
        <v/>
      </c>
    </row>
    <row r="558" spans="1:8" x14ac:dyDescent="0.35">
      <c r="A558" s="56" t="s">
        <v>1681</v>
      </c>
      <c r="B558" s="56" t="s">
        <v>2238</v>
      </c>
      <c r="C558" s="56" t="s">
        <v>2239</v>
      </c>
      <c r="D558" s="39">
        <v>531</v>
      </c>
      <c r="E558" s="56" t="s">
        <v>2240</v>
      </c>
      <c r="F558" s="55" t="s">
        <v>2241</v>
      </c>
      <c r="G558" s="5">
        <f>IF(Estimation!$B$18="",0,IF(ISNUMBER(SEARCH(LOWER(Estimation!$B$18),F558)),1,0))</f>
        <v>0</v>
      </c>
      <c r="H558" s="5" t="str">
        <f>IF(G558=1,SUM($G$4:G558),"")</f>
        <v/>
      </c>
    </row>
    <row r="559" spans="1:8" x14ac:dyDescent="0.35">
      <c r="A559" s="56" t="s">
        <v>1681</v>
      </c>
      <c r="B559" s="56" t="s">
        <v>2242</v>
      </c>
      <c r="C559" s="56" t="s">
        <v>2243</v>
      </c>
      <c r="D559" s="39">
        <v>561</v>
      </c>
      <c r="E559" s="56" t="s">
        <v>2244</v>
      </c>
      <c r="F559" s="55" t="s">
        <v>2245</v>
      </c>
      <c r="G559" s="5">
        <f>IF(Estimation!$B$18="",0,IF(ISNUMBER(SEARCH(LOWER(Estimation!$B$18),F559)),1,0))</f>
        <v>0</v>
      </c>
      <c r="H559" s="5" t="str">
        <f>IF(G559=1,SUM($G$4:G559),"")</f>
        <v/>
      </c>
    </row>
    <row r="560" spans="1:8" x14ac:dyDescent="0.35">
      <c r="A560" s="56" t="s">
        <v>1681</v>
      </c>
      <c r="B560" s="56" t="s">
        <v>2246</v>
      </c>
      <c r="C560" s="56" t="s">
        <v>2247</v>
      </c>
      <c r="D560" s="39">
        <v>102</v>
      </c>
      <c r="E560" s="56" t="s">
        <v>2248</v>
      </c>
      <c r="F560" s="55" t="s">
        <v>2249</v>
      </c>
      <c r="G560" s="5">
        <f>IF(Estimation!$B$18="",0,IF(ISNUMBER(SEARCH(LOWER(Estimation!$B$18),F560)),1,0))</f>
        <v>0</v>
      </c>
      <c r="H560" s="5" t="str">
        <f>IF(G560=1,SUM($G$4:G560),"")</f>
        <v/>
      </c>
    </row>
    <row r="561" spans="1:8" x14ac:dyDescent="0.35">
      <c r="A561" s="56" t="s">
        <v>1681</v>
      </c>
      <c r="B561" s="56" t="s">
        <v>2250</v>
      </c>
      <c r="C561" s="56" t="s">
        <v>2251</v>
      </c>
      <c r="D561" s="39">
        <v>168</v>
      </c>
      <c r="E561" s="56" t="s">
        <v>2252</v>
      </c>
      <c r="F561" s="55" t="s">
        <v>2253</v>
      </c>
      <c r="G561" s="5">
        <f>IF(Estimation!$B$18="",0,IF(ISNUMBER(SEARCH(LOWER(Estimation!$B$18),F561)),1,0))</f>
        <v>0</v>
      </c>
      <c r="H561" s="5" t="str">
        <f>IF(G561=1,SUM($G$4:G561),"")</f>
        <v/>
      </c>
    </row>
    <row r="562" spans="1:8" x14ac:dyDescent="0.35">
      <c r="A562" s="56" t="s">
        <v>1681</v>
      </c>
      <c r="B562" s="56" t="s">
        <v>2254</v>
      </c>
      <c r="C562" s="56" t="s">
        <v>2255</v>
      </c>
      <c r="D562" s="39">
        <v>161</v>
      </c>
      <c r="E562" s="56" t="s">
        <v>2256</v>
      </c>
      <c r="F562" s="55" t="s">
        <v>2257</v>
      </c>
      <c r="G562" s="5">
        <f>IF(Estimation!$B$18="",0,IF(ISNUMBER(SEARCH(LOWER(Estimation!$B$18),F562)),1,0))</f>
        <v>0</v>
      </c>
      <c r="H562" s="5" t="str">
        <f>IF(G562=1,SUM($G$4:G562),"")</f>
        <v/>
      </c>
    </row>
    <row r="563" spans="1:8" x14ac:dyDescent="0.35">
      <c r="A563" s="56" t="s">
        <v>1681</v>
      </c>
      <c r="B563" s="56" t="s">
        <v>2258</v>
      </c>
      <c r="C563" s="56" t="s">
        <v>2259</v>
      </c>
      <c r="D563" s="39">
        <v>252</v>
      </c>
      <c r="E563" s="56" t="s">
        <v>2260</v>
      </c>
      <c r="F563" s="55" t="s">
        <v>2261</v>
      </c>
      <c r="G563" s="5">
        <f>IF(Estimation!$B$18="",0,IF(ISNUMBER(SEARCH(LOWER(Estimation!$B$18),F563)),1,0))</f>
        <v>0</v>
      </c>
      <c r="H563" s="5" t="str">
        <f>IF(G563=1,SUM($G$4:G563),"")</f>
        <v/>
      </c>
    </row>
    <row r="564" spans="1:8" x14ac:dyDescent="0.35">
      <c r="A564" s="56" t="s">
        <v>1681</v>
      </c>
      <c r="B564" s="56" t="s">
        <v>2262</v>
      </c>
      <c r="C564" s="56" t="s">
        <v>2263</v>
      </c>
      <c r="D564" s="39">
        <v>383</v>
      </c>
      <c r="E564" s="56" t="s">
        <v>2264</v>
      </c>
      <c r="F564" s="55" t="s">
        <v>2265</v>
      </c>
      <c r="G564" s="5">
        <f>IF(Estimation!$B$18="",0,IF(ISNUMBER(SEARCH(LOWER(Estimation!$B$18),F564)),1,0))</f>
        <v>0</v>
      </c>
      <c r="H564" s="5" t="str">
        <f>IF(G564=1,SUM($G$4:G564),"")</f>
        <v/>
      </c>
    </row>
    <row r="565" spans="1:8" x14ac:dyDescent="0.35">
      <c r="A565" s="56" t="s">
        <v>1681</v>
      </c>
      <c r="B565" s="56" t="s">
        <v>2266</v>
      </c>
      <c r="C565" s="56" t="s">
        <v>2267</v>
      </c>
      <c r="D565" s="39">
        <v>1590</v>
      </c>
      <c r="E565" s="56" t="s">
        <v>2268</v>
      </c>
      <c r="F565" s="55" t="s">
        <v>2269</v>
      </c>
      <c r="G565" s="5">
        <f>IF(Estimation!$B$18="",0,IF(ISNUMBER(SEARCH(LOWER(Estimation!$B$18),F565)),1,0))</f>
        <v>0</v>
      </c>
      <c r="H565" s="5" t="str">
        <f>IF(G565=1,SUM($G$4:G565),"")</f>
        <v/>
      </c>
    </row>
    <row r="566" spans="1:8" x14ac:dyDescent="0.35">
      <c r="A566" s="56" t="s">
        <v>1681</v>
      </c>
      <c r="B566" s="56" t="s">
        <v>2270</v>
      </c>
      <c r="C566" s="56" t="s">
        <v>2271</v>
      </c>
      <c r="D566" s="39">
        <v>2386</v>
      </c>
      <c r="E566" s="56" t="s">
        <v>2272</v>
      </c>
      <c r="F566" s="55" t="s">
        <v>2273</v>
      </c>
      <c r="G566" s="5">
        <f>IF(Estimation!$B$18="",0,IF(ISNUMBER(SEARCH(LOWER(Estimation!$B$18),F566)),1,0))</f>
        <v>0</v>
      </c>
      <c r="H566" s="5" t="str">
        <f>IF(G566=1,SUM($G$4:G566),"")</f>
        <v/>
      </c>
    </row>
    <row r="567" spans="1:8" x14ac:dyDescent="0.35">
      <c r="A567" s="56" t="s">
        <v>1681</v>
      </c>
      <c r="B567" s="56" t="s">
        <v>2274</v>
      </c>
      <c r="C567" s="56" t="s">
        <v>2275</v>
      </c>
      <c r="D567" s="39">
        <v>2862</v>
      </c>
      <c r="E567" s="56" t="s">
        <v>2276</v>
      </c>
      <c r="F567" s="55" t="s">
        <v>2277</v>
      </c>
      <c r="G567" s="5">
        <f>IF(Estimation!$B$18="",0,IF(ISNUMBER(SEARCH(LOWER(Estimation!$B$18),F567)),1,0))</f>
        <v>0</v>
      </c>
      <c r="H567" s="5" t="str">
        <f>IF(G567=1,SUM($G$4:G567),"")</f>
        <v/>
      </c>
    </row>
    <row r="568" spans="1:8" x14ac:dyDescent="0.35">
      <c r="A568" s="56" t="s">
        <v>1681</v>
      </c>
      <c r="B568" s="56" t="s">
        <v>2278</v>
      </c>
      <c r="C568" s="56" t="s">
        <v>2279</v>
      </c>
      <c r="D568" s="39">
        <v>449</v>
      </c>
      <c r="E568" s="56" t="s">
        <v>2280</v>
      </c>
      <c r="F568" s="55" t="s">
        <v>2281</v>
      </c>
      <c r="G568" s="5">
        <f>IF(Estimation!$B$18="",0,IF(ISNUMBER(SEARCH(LOWER(Estimation!$B$18),F568)),1,0))</f>
        <v>0</v>
      </c>
      <c r="H568" s="5" t="str">
        <f>IF(G568=1,SUM($G$4:G568),"")</f>
        <v/>
      </c>
    </row>
    <row r="569" spans="1:8" x14ac:dyDescent="0.35">
      <c r="A569" s="56" t="s">
        <v>1681</v>
      </c>
      <c r="B569" s="56" t="s">
        <v>2282</v>
      </c>
      <c r="C569" s="56" t="s">
        <v>2283</v>
      </c>
      <c r="D569" s="39">
        <v>207</v>
      </c>
      <c r="E569" s="56" t="s">
        <v>2284</v>
      </c>
      <c r="F569" s="55" t="s">
        <v>2285</v>
      </c>
      <c r="G569" s="5">
        <f>IF(Estimation!$B$18="",0,IF(ISNUMBER(SEARCH(LOWER(Estimation!$B$18),F569)),1,0))</f>
        <v>0</v>
      </c>
      <c r="H569" s="5" t="str">
        <f>IF(G569=1,SUM($G$4:G569),"")</f>
        <v/>
      </c>
    </row>
    <row r="570" spans="1:8" x14ac:dyDescent="0.35">
      <c r="A570" s="56" t="s">
        <v>1681</v>
      </c>
      <c r="B570" s="56" t="s">
        <v>2286</v>
      </c>
      <c r="C570" s="56" t="s">
        <v>2287</v>
      </c>
      <c r="D570" s="39">
        <v>15</v>
      </c>
      <c r="E570" s="56" t="s">
        <v>2288</v>
      </c>
      <c r="F570" s="55" t="s">
        <v>2289</v>
      </c>
      <c r="G570" s="5">
        <f>IF(Estimation!$B$18="",0,IF(ISNUMBER(SEARCH(LOWER(Estimation!$B$18),F570)),1,0))</f>
        <v>0</v>
      </c>
      <c r="H570" s="5" t="str">
        <f>IF(G570=1,SUM($G$4:G570),"")</f>
        <v/>
      </c>
    </row>
    <row r="571" spans="1:8" x14ac:dyDescent="0.35">
      <c r="A571" s="56" t="s">
        <v>1681</v>
      </c>
      <c r="B571" s="56" t="s">
        <v>2290</v>
      </c>
      <c r="C571" s="56" t="s">
        <v>2291</v>
      </c>
      <c r="D571" s="39">
        <v>3</v>
      </c>
      <c r="E571" s="56" t="s">
        <v>2292</v>
      </c>
      <c r="F571" s="55" t="s">
        <v>2293</v>
      </c>
      <c r="G571" s="5">
        <f>IF(Estimation!$B$18="",0,IF(ISNUMBER(SEARCH(LOWER(Estimation!$B$18),F571)),1,0))</f>
        <v>0</v>
      </c>
      <c r="H571" s="5" t="str">
        <f>IF(G571=1,SUM($G$4:G571),"")</f>
        <v/>
      </c>
    </row>
    <row r="572" spans="1:8" x14ac:dyDescent="0.35">
      <c r="A572" s="56" t="s">
        <v>1681</v>
      </c>
      <c r="B572" s="56" t="s">
        <v>2294</v>
      </c>
      <c r="C572" s="56" t="s">
        <v>2295</v>
      </c>
      <c r="D572" s="39">
        <v>5</v>
      </c>
      <c r="E572" s="56" t="s">
        <v>2296</v>
      </c>
      <c r="F572" s="55" t="s">
        <v>2297</v>
      </c>
      <c r="G572" s="5">
        <f>IF(Estimation!$B$18="",0,IF(ISNUMBER(SEARCH(LOWER(Estimation!$B$18),F572)),1,0))</f>
        <v>0</v>
      </c>
      <c r="H572" s="5" t="str">
        <f>IF(G572=1,SUM($G$4:G572),"")</f>
        <v/>
      </c>
    </row>
    <row r="573" spans="1:8" x14ac:dyDescent="0.35">
      <c r="A573" s="56" t="s">
        <v>1681</v>
      </c>
      <c r="B573" s="56" t="s">
        <v>2298</v>
      </c>
      <c r="C573" s="56" t="s">
        <v>2299</v>
      </c>
      <c r="D573" s="39">
        <v>15</v>
      </c>
      <c r="E573" s="56" t="s">
        <v>2300</v>
      </c>
      <c r="F573" s="55" t="s">
        <v>2301</v>
      </c>
      <c r="G573" s="5">
        <f>IF(Estimation!$B$18="",0,IF(ISNUMBER(SEARCH(LOWER(Estimation!$B$18),F573)),1,0))</f>
        <v>0</v>
      </c>
      <c r="H573" s="5" t="str">
        <f>IF(G573=1,SUM($G$4:G573),"")</f>
        <v/>
      </c>
    </row>
    <row r="574" spans="1:8" x14ac:dyDescent="0.35">
      <c r="A574" s="56" t="s">
        <v>1681</v>
      </c>
      <c r="B574" s="56" t="s">
        <v>2302</v>
      </c>
      <c r="C574" s="56" t="s">
        <v>2303</v>
      </c>
      <c r="D574" s="39">
        <v>1</v>
      </c>
      <c r="E574" s="56" t="s">
        <v>2304</v>
      </c>
      <c r="F574" s="55" t="s">
        <v>2305</v>
      </c>
      <c r="G574" s="5">
        <f>IF(Estimation!$B$18="",0,IF(ISNUMBER(SEARCH(LOWER(Estimation!$B$18),F574)),1,0))</f>
        <v>0</v>
      </c>
      <c r="H574" s="5" t="str">
        <f>IF(G574=1,SUM($G$4:G574),"")</f>
        <v/>
      </c>
    </row>
    <row r="575" spans="1:8" x14ac:dyDescent="0.35">
      <c r="A575" s="56" t="s">
        <v>1681</v>
      </c>
      <c r="B575" s="56" t="s">
        <v>2306</v>
      </c>
      <c r="C575" s="56" t="s">
        <v>2307</v>
      </c>
      <c r="D575" s="39">
        <v>4</v>
      </c>
      <c r="E575" s="56" t="s">
        <v>2308</v>
      </c>
      <c r="F575" s="55" t="s">
        <v>2309</v>
      </c>
      <c r="G575" s="5">
        <f>IF(Estimation!$B$18="",0,IF(ISNUMBER(SEARCH(LOWER(Estimation!$B$18),F575)),1,0))</f>
        <v>0</v>
      </c>
      <c r="H575" s="5" t="str">
        <f>IF(G575=1,SUM($G$4:G575),"")</f>
        <v/>
      </c>
    </row>
    <row r="576" spans="1:8" x14ac:dyDescent="0.35">
      <c r="A576" s="56" t="s">
        <v>1681</v>
      </c>
      <c r="B576" s="56" t="s">
        <v>2310</v>
      </c>
      <c r="C576" s="56" t="s">
        <v>2311</v>
      </c>
      <c r="D576" s="39">
        <v>58</v>
      </c>
      <c r="E576" s="56" t="s">
        <v>2312</v>
      </c>
      <c r="F576" s="55" t="s">
        <v>2313</v>
      </c>
      <c r="G576" s="5">
        <f>IF(Estimation!$B$18="",0,IF(ISNUMBER(SEARCH(LOWER(Estimation!$B$18),F576)),1,0))</f>
        <v>0</v>
      </c>
      <c r="H576" s="5" t="str">
        <f>IF(G576=1,SUM($G$4:G576),"")</f>
        <v/>
      </c>
    </row>
    <row r="577" spans="1:8" x14ac:dyDescent="0.35">
      <c r="A577" s="56" t="s">
        <v>1681</v>
      </c>
      <c r="B577" s="56" t="s">
        <v>2314</v>
      </c>
      <c r="C577" s="56" t="s">
        <v>2315</v>
      </c>
      <c r="D577" s="39">
        <v>41</v>
      </c>
      <c r="E577" s="56" t="s">
        <v>2316</v>
      </c>
      <c r="F577" s="55" t="s">
        <v>2317</v>
      </c>
      <c r="G577" s="5">
        <f>IF(Estimation!$B$18="",0,IF(ISNUMBER(SEARCH(LOWER(Estimation!$B$18),F577)),1,0))</f>
        <v>0</v>
      </c>
      <c r="H577" s="5" t="str">
        <f>IF(G577=1,SUM($G$4:G577),"")</f>
        <v/>
      </c>
    </row>
    <row r="578" spans="1:8" x14ac:dyDescent="0.35">
      <c r="A578" s="56" t="s">
        <v>1681</v>
      </c>
      <c r="B578" s="56" t="s">
        <v>2318</v>
      </c>
      <c r="C578" s="56" t="s">
        <v>2319</v>
      </c>
      <c r="D578" s="39">
        <v>45</v>
      </c>
      <c r="E578" s="56" t="s">
        <v>2320</v>
      </c>
      <c r="F578" s="55" t="s">
        <v>2321</v>
      </c>
      <c r="G578" s="5">
        <f>IF(Estimation!$B$18="",0,IF(ISNUMBER(SEARCH(LOWER(Estimation!$B$18),F578)),1,0))</f>
        <v>0</v>
      </c>
      <c r="H578" s="5" t="str">
        <f>IF(G578=1,SUM($G$4:G578),"")</f>
        <v/>
      </c>
    </row>
    <row r="579" spans="1:8" x14ac:dyDescent="0.35">
      <c r="A579" s="56" t="s">
        <v>1681</v>
      </c>
      <c r="B579" s="56" t="s">
        <v>2322</v>
      </c>
      <c r="C579" s="56" t="s">
        <v>2323</v>
      </c>
      <c r="D579" s="39">
        <v>9</v>
      </c>
      <c r="E579" s="56" t="s">
        <v>2324</v>
      </c>
      <c r="F579" s="55" t="s">
        <v>2325</v>
      </c>
      <c r="G579" s="5">
        <f>IF(Estimation!$B$18="",0,IF(ISNUMBER(SEARCH(LOWER(Estimation!$B$18),F579)),1,0))</f>
        <v>0</v>
      </c>
      <c r="H579" s="5" t="str">
        <f>IF(G579=1,SUM($G$4:G579),"")</f>
        <v/>
      </c>
    </row>
    <row r="580" spans="1:8" x14ac:dyDescent="0.35">
      <c r="A580" s="56" t="s">
        <v>1681</v>
      </c>
      <c r="B580" s="56" t="s">
        <v>2326</v>
      </c>
      <c r="C580" s="56" t="s">
        <v>2327</v>
      </c>
      <c r="D580" s="39">
        <v>107</v>
      </c>
      <c r="E580" s="56" t="s">
        <v>2328</v>
      </c>
      <c r="F580" s="55" t="s">
        <v>2329</v>
      </c>
      <c r="G580" s="5">
        <f>IF(Estimation!$B$18="",0,IF(ISNUMBER(SEARCH(LOWER(Estimation!$B$18),F580)),1,0))</f>
        <v>0</v>
      </c>
      <c r="H580" s="5" t="str">
        <f>IF(G580=1,SUM($G$4:G580),"")</f>
        <v/>
      </c>
    </row>
    <row r="581" spans="1:8" x14ac:dyDescent="0.35">
      <c r="A581" s="56" t="s">
        <v>1681</v>
      </c>
      <c r="B581" s="56" t="s">
        <v>2330</v>
      </c>
      <c r="C581" s="56" t="s">
        <v>2331</v>
      </c>
      <c r="D581" s="39">
        <v>119</v>
      </c>
      <c r="E581" s="56" t="s">
        <v>2332</v>
      </c>
      <c r="F581" s="55" t="s">
        <v>2333</v>
      </c>
      <c r="G581" s="5">
        <f>IF(Estimation!$B$18="",0,IF(ISNUMBER(SEARCH(LOWER(Estimation!$B$18),F581)),1,0))</f>
        <v>0</v>
      </c>
      <c r="H581" s="5" t="str">
        <f>IF(G581=1,SUM($G$4:G581),"")</f>
        <v/>
      </c>
    </row>
    <row r="582" spans="1:8" x14ac:dyDescent="0.35">
      <c r="A582" s="56" t="s">
        <v>1681</v>
      </c>
      <c r="B582" s="56" t="s">
        <v>2334</v>
      </c>
      <c r="C582" s="56" t="s">
        <v>2335</v>
      </c>
      <c r="D582" s="39">
        <v>107</v>
      </c>
      <c r="E582" s="56" t="s">
        <v>2336</v>
      </c>
      <c r="F582" s="55" t="s">
        <v>2337</v>
      </c>
      <c r="G582" s="5">
        <f>IF(Estimation!$B$18="",0,IF(ISNUMBER(SEARCH(LOWER(Estimation!$B$18),F582)),1,0))</f>
        <v>0</v>
      </c>
      <c r="H582" s="5" t="str">
        <f>IF(G582=1,SUM($G$4:G582),"")</f>
        <v/>
      </c>
    </row>
    <row r="583" spans="1:8" x14ac:dyDescent="0.35">
      <c r="A583" s="56" t="s">
        <v>1681</v>
      </c>
      <c r="B583" s="56" t="s">
        <v>2338</v>
      </c>
      <c r="C583" s="56" t="s">
        <v>2339</v>
      </c>
      <c r="D583" s="39">
        <v>119</v>
      </c>
      <c r="E583" s="56" t="s">
        <v>2340</v>
      </c>
      <c r="F583" s="55" t="s">
        <v>2341</v>
      </c>
      <c r="G583" s="5">
        <f>IF(Estimation!$B$18="",0,IF(ISNUMBER(SEARCH(LOWER(Estimation!$B$18),F583)),1,0))</f>
        <v>0</v>
      </c>
      <c r="H583" s="5" t="str">
        <f>IF(G583=1,SUM($G$4:G583),"")</f>
        <v/>
      </c>
    </row>
    <row r="584" spans="1:8" x14ac:dyDescent="0.35">
      <c r="A584" s="56" t="s">
        <v>1681</v>
      </c>
      <c r="B584" s="56" t="s">
        <v>2342</v>
      </c>
      <c r="C584" s="56" t="s">
        <v>2343</v>
      </c>
      <c r="D584" s="39">
        <v>108</v>
      </c>
      <c r="E584" s="56" t="s">
        <v>2344</v>
      </c>
      <c r="F584" s="55" t="s">
        <v>2345</v>
      </c>
      <c r="G584" s="5">
        <f>IF(Estimation!$B$18="",0,IF(ISNUMBER(SEARCH(LOWER(Estimation!$B$18),F584)),1,0))</f>
        <v>0</v>
      </c>
      <c r="H584" s="5" t="str">
        <f>IF(G584=1,SUM($G$4:G584),"")</f>
        <v/>
      </c>
    </row>
    <row r="585" spans="1:8" x14ac:dyDescent="0.35">
      <c r="A585" s="56" t="s">
        <v>1681</v>
      </c>
      <c r="B585" s="56" t="s">
        <v>2346</v>
      </c>
      <c r="C585" s="56" t="s">
        <v>2347</v>
      </c>
      <c r="D585" s="39">
        <v>12</v>
      </c>
      <c r="E585" s="56" t="s">
        <v>2348</v>
      </c>
      <c r="F585" s="55" t="s">
        <v>2349</v>
      </c>
      <c r="G585" s="5">
        <f>IF(Estimation!$B$18="",0,IF(ISNUMBER(SEARCH(LOWER(Estimation!$B$18),F585)),1,0))</f>
        <v>0</v>
      </c>
      <c r="H585" s="5" t="str">
        <f>IF(G585=1,SUM($G$4:G585),"")</f>
        <v/>
      </c>
    </row>
    <row r="586" spans="1:8" x14ac:dyDescent="0.35">
      <c r="A586" s="56" t="s">
        <v>1681</v>
      </c>
      <c r="B586" s="56" t="s">
        <v>2350</v>
      </c>
      <c r="C586" s="56" t="s">
        <v>2351</v>
      </c>
      <c r="D586" s="39">
        <v>158</v>
      </c>
      <c r="E586" s="56" t="s">
        <v>2352</v>
      </c>
      <c r="F586" s="55" t="s">
        <v>2353</v>
      </c>
      <c r="G586" s="5">
        <f>IF(Estimation!$B$18="",0,IF(ISNUMBER(SEARCH(LOWER(Estimation!$B$18),F586)),1,0))</f>
        <v>0</v>
      </c>
      <c r="H586" s="5" t="str">
        <f>IF(G586=1,SUM($G$4:G586),"")</f>
        <v/>
      </c>
    </row>
    <row r="587" spans="1:8" x14ac:dyDescent="0.35">
      <c r="A587" s="56" t="s">
        <v>1681</v>
      </c>
      <c r="B587" s="56" t="s">
        <v>2354</v>
      </c>
      <c r="C587" s="56" t="s">
        <v>2355</v>
      </c>
      <c r="D587" s="39">
        <v>169</v>
      </c>
      <c r="E587" s="56" t="s">
        <v>2356</v>
      </c>
      <c r="F587" s="55" t="s">
        <v>2357</v>
      </c>
      <c r="G587" s="5">
        <f>IF(Estimation!$B$18="",0,IF(ISNUMBER(SEARCH(LOWER(Estimation!$B$18),F587)),1,0))</f>
        <v>0</v>
      </c>
      <c r="H587" s="5" t="str">
        <f>IF(G587=1,SUM($G$4:G587),"")</f>
        <v/>
      </c>
    </row>
    <row r="588" spans="1:8" x14ac:dyDescent="0.35">
      <c r="A588" s="56" t="s">
        <v>1681</v>
      </c>
      <c r="B588" s="56" t="s">
        <v>2358</v>
      </c>
      <c r="C588" s="56" t="s">
        <v>2359</v>
      </c>
      <c r="D588" s="39">
        <v>184</v>
      </c>
      <c r="E588" s="56" t="s">
        <v>2360</v>
      </c>
      <c r="F588" s="55" t="s">
        <v>2361</v>
      </c>
      <c r="G588" s="5">
        <f>IF(Estimation!$B$18="",0,IF(ISNUMBER(SEARCH(LOWER(Estimation!$B$18),F588)),1,0))</f>
        <v>0</v>
      </c>
      <c r="H588" s="5" t="str">
        <f>IF(G588=1,SUM($G$4:G588),"")</f>
        <v/>
      </c>
    </row>
    <row r="589" spans="1:8" x14ac:dyDescent="0.35">
      <c r="A589" s="56" t="s">
        <v>1681</v>
      </c>
      <c r="B589" s="56" t="s">
        <v>2362</v>
      </c>
      <c r="C589" s="56" t="s">
        <v>2363</v>
      </c>
      <c r="D589" s="39">
        <v>194</v>
      </c>
      <c r="E589" s="56" t="s">
        <v>2364</v>
      </c>
      <c r="F589" s="55" t="s">
        <v>2365</v>
      </c>
      <c r="G589" s="5">
        <f>IF(Estimation!$B$18="",0,IF(ISNUMBER(SEARCH(LOWER(Estimation!$B$18),F589)),1,0))</f>
        <v>0</v>
      </c>
      <c r="H589" s="5" t="str">
        <f>IF(G589=1,SUM($G$4:G589),"")</f>
        <v/>
      </c>
    </row>
    <row r="590" spans="1:8" x14ac:dyDescent="0.35">
      <c r="A590" s="56" t="s">
        <v>1681</v>
      </c>
      <c r="B590" s="56" t="s">
        <v>2366</v>
      </c>
      <c r="C590" s="56" t="s">
        <v>2367</v>
      </c>
      <c r="D590" s="39">
        <v>184</v>
      </c>
      <c r="E590" s="56" t="s">
        <v>2368</v>
      </c>
      <c r="F590" s="55" t="s">
        <v>2369</v>
      </c>
      <c r="G590" s="5">
        <f>IF(Estimation!$B$18="",0,IF(ISNUMBER(SEARCH(LOWER(Estimation!$B$18),F590)),1,0))</f>
        <v>0</v>
      </c>
      <c r="H590" s="5" t="str">
        <f>IF(G590=1,SUM($G$4:G590),"")</f>
        <v/>
      </c>
    </row>
    <row r="591" spans="1:8" x14ac:dyDescent="0.35">
      <c r="A591" s="56" t="s">
        <v>1681</v>
      </c>
      <c r="B591" s="56" t="s">
        <v>2370</v>
      </c>
      <c r="C591" s="56" t="s">
        <v>2371</v>
      </c>
      <c r="D591" s="39">
        <v>194</v>
      </c>
      <c r="E591" s="56" t="s">
        <v>2372</v>
      </c>
      <c r="F591" s="55" t="s">
        <v>2373</v>
      </c>
      <c r="G591" s="5">
        <f>IF(Estimation!$B$18="",0,IF(ISNUMBER(SEARCH(LOWER(Estimation!$B$18),F591)),1,0))</f>
        <v>0</v>
      </c>
      <c r="H591" s="5" t="str">
        <f>IF(G591=1,SUM($G$4:G591),"")</f>
        <v/>
      </c>
    </row>
    <row r="592" spans="1:8" x14ac:dyDescent="0.35">
      <c r="A592" s="56" t="s">
        <v>1681</v>
      </c>
      <c r="B592" s="56" t="s">
        <v>2374</v>
      </c>
      <c r="C592" s="56" t="s">
        <v>2375</v>
      </c>
      <c r="D592" s="39">
        <v>184</v>
      </c>
      <c r="E592" s="56" t="s">
        <v>2376</v>
      </c>
      <c r="F592" s="55" t="s">
        <v>2377</v>
      </c>
      <c r="G592" s="5">
        <f>IF(Estimation!$B$18="",0,IF(ISNUMBER(SEARCH(LOWER(Estimation!$B$18),F592)),1,0))</f>
        <v>0</v>
      </c>
      <c r="H592" s="5" t="str">
        <f>IF(G592=1,SUM($G$4:G592),"")</f>
        <v/>
      </c>
    </row>
    <row r="593" spans="1:8" x14ac:dyDescent="0.35">
      <c r="A593" s="56" t="s">
        <v>1681</v>
      </c>
      <c r="B593" s="56" t="s">
        <v>2378</v>
      </c>
      <c r="C593" s="56" t="s">
        <v>2379</v>
      </c>
      <c r="D593" s="39">
        <v>194</v>
      </c>
      <c r="E593" s="56" t="s">
        <v>2380</v>
      </c>
      <c r="F593" s="55" t="s">
        <v>2381</v>
      </c>
      <c r="G593" s="5">
        <f>IF(Estimation!$B$18="",0,IF(ISNUMBER(SEARCH(LOWER(Estimation!$B$18),F593)),1,0))</f>
        <v>0</v>
      </c>
      <c r="H593" s="5" t="str">
        <f>IF(G593=1,SUM($G$4:G593),"")</f>
        <v/>
      </c>
    </row>
    <row r="594" spans="1:8" x14ac:dyDescent="0.35">
      <c r="A594" s="56" t="s">
        <v>1681</v>
      </c>
      <c r="B594" s="56" t="s">
        <v>2382</v>
      </c>
      <c r="C594" s="56" t="s">
        <v>2383</v>
      </c>
      <c r="D594" s="39">
        <v>188</v>
      </c>
      <c r="E594" s="56" t="s">
        <v>2384</v>
      </c>
      <c r="F594" s="55" t="s">
        <v>2385</v>
      </c>
      <c r="G594" s="5">
        <f>IF(Estimation!$B$18="",0,IF(ISNUMBER(SEARCH(LOWER(Estimation!$B$18),F594)),1,0))</f>
        <v>0</v>
      </c>
      <c r="H594" s="5" t="str">
        <f>IF(G594=1,SUM($G$4:G594),"")</f>
        <v/>
      </c>
    </row>
    <row r="595" spans="1:8" x14ac:dyDescent="0.35">
      <c r="A595" s="56" t="s">
        <v>1681</v>
      </c>
      <c r="B595" s="56" t="s">
        <v>2386</v>
      </c>
      <c r="C595" s="56" t="s">
        <v>2387</v>
      </c>
      <c r="D595" s="39">
        <v>184</v>
      </c>
      <c r="E595" s="56" t="s">
        <v>2388</v>
      </c>
      <c r="F595" s="55" t="s">
        <v>2389</v>
      </c>
      <c r="G595" s="5">
        <f>IF(Estimation!$B$18="",0,IF(ISNUMBER(SEARCH(LOWER(Estimation!$B$18),F595)),1,0))</f>
        <v>0</v>
      </c>
      <c r="H595" s="5" t="str">
        <f>IF(G595=1,SUM($G$4:G595),"")</f>
        <v/>
      </c>
    </row>
    <row r="596" spans="1:8" x14ac:dyDescent="0.35">
      <c r="A596" s="56" t="s">
        <v>1681</v>
      </c>
      <c r="B596" s="56" t="s">
        <v>2390</v>
      </c>
      <c r="C596" s="56" t="s">
        <v>2391</v>
      </c>
      <c r="D596" s="39">
        <v>200</v>
      </c>
      <c r="E596" s="56" t="s">
        <v>2392</v>
      </c>
      <c r="F596" s="55" t="s">
        <v>2393</v>
      </c>
      <c r="G596" s="5">
        <f>IF(Estimation!$B$18="",0,IF(ISNUMBER(SEARCH(LOWER(Estimation!$B$18),F596)),1,0))</f>
        <v>0</v>
      </c>
      <c r="H596" s="5" t="str">
        <f>IF(G596=1,SUM($G$4:G596),"")</f>
        <v/>
      </c>
    </row>
    <row r="597" spans="1:8" x14ac:dyDescent="0.35">
      <c r="A597" s="56" t="s">
        <v>1681</v>
      </c>
      <c r="B597" s="56" t="s">
        <v>2394</v>
      </c>
      <c r="C597" s="56" t="s">
        <v>2395</v>
      </c>
      <c r="D597" s="39">
        <v>351</v>
      </c>
      <c r="E597" s="56" t="s">
        <v>2396</v>
      </c>
      <c r="F597" s="55" t="s">
        <v>2397</v>
      </c>
      <c r="G597" s="5">
        <f>IF(Estimation!$B$18="",0,IF(ISNUMBER(SEARCH(LOWER(Estimation!$B$18),F597)),1,0))</f>
        <v>0</v>
      </c>
      <c r="H597" s="5" t="str">
        <f>IF(G597=1,SUM($G$4:G597),"")</f>
        <v/>
      </c>
    </row>
    <row r="598" spans="1:8" x14ac:dyDescent="0.35">
      <c r="A598" s="56" t="s">
        <v>1681</v>
      </c>
      <c r="B598" s="56" t="s">
        <v>2398</v>
      </c>
      <c r="C598" s="56" t="s">
        <v>2399</v>
      </c>
      <c r="D598" s="39">
        <v>363</v>
      </c>
      <c r="E598" s="56" t="s">
        <v>2400</v>
      </c>
      <c r="F598" s="55" t="s">
        <v>2401</v>
      </c>
      <c r="G598" s="5">
        <f>IF(Estimation!$B$18="",0,IF(ISNUMBER(SEARCH(LOWER(Estimation!$B$18),F598)),1,0))</f>
        <v>0</v>
      </c>
      <c r="H598" s="5" t="str">
        <f>IF(G598=1,SUM($G$4:G598),"")</f>
        <v/>
      </c>
    </row>
    <row r="599" spans="1:8" x14ac:dyDescent="0.35">
      <c r="A599" s="56" t="s">
        <v>1681</v>
      </c>
      <c r="B599" s="56" t="s">
        <v>2402</v>
      </c>
      <c r="C599" s="56" t="s">
        <v>2403</v>
      </c>
      <c r="D599" s="39">
        <v>245</v>
      </c>
      <c r="E599" s="56" t="s">
        <v>2404</v>
      </c>
      <c r="F599" s="55" t="s">
        <v>2405</v>
      </c>
      <c r="G599" s="5">
        <f>IF(Estimation!$B$18="",0,IF(ISNUMBER(SEARCH(LOWER(Estimation!$B$18),F599)),1,0))</f>
        <v>0</v>
      </c>
      <c r="H599" s="5" t="str">
        <f>IF(G599=1,SUM($G$4:G599),"")</f>
        <v/>
      </c>
    </row>
    <row r="600" spans="1:8" x14ac:dyDescent="0.35">
      <c r="A600" s="56" t="s">
        <v>1681</v>
      </c>
      <c r="B600" s="56" t="s">
        <v>2406</v>
      </c>
      <c r="C600" s="56" t="s">
        <v>2407</v>
      </c>
      <c r="D600" s="39">
        <v>257</v>
      </c>
      <c r="E600" s="56" t="s">
        <v>2408</v>
      </c>
      <c r="F600" s="55" t="s">
        <v>2409</v>
      </c>
      <c r="G600" s="5">
        <f>IF(Estimation!$B$18="",0,IF(ISNUMBER(SEARCH(LOWER(Estimation!$B$18),F600)),1,0))</f>
        <v>0</v>
      </c>
      <c r="H600" s="5" t="str">
        <f>IF(G600=1,SUM($G$4:G600),"")</f>
        <v/>
      </c>
    </row>
    <row r="601" spans="1:8" x14ac:dyDescent="0.35">
      <c r="A601" s="56" t="s">
        <v>1681</v>
      </c>
      <c r="B601" s="56" t="s">
        <v>2410</v>
      </c>
      <c r="C601" s="56" t="s">
        <v>2411</v>
      </c>
      <c r="D601" s="39">
        <v>245</v>
      </c>
      <c r="E601" s="56" t="s">
        <v>2412</v>
      </c>
      <c r="F601" s="55" t="s">
        <v>2413</v>
      </c>
      <c r="G601" s="5">
        <f>IF(Estimation!$B$18="",0,IF(ISNUMBER(SEARCH(LOWER(Estimation!$B$18),F601)),1,0))</f>
        <v>0</v>
      </c>
      <c r="H601" s="5" t="str">
        <f>IF(G601=1,SUM($G$4:G601),"")</f>
        <v/>
      </c>
    </row>
    <row r="602" spans="1:8" x14ac:dyDescent="0.35">
      <c r="A602" s="56" t="s">
        <v>1681</v>
      </c>
      <c r="B602" s="56" t="s">
        <v>2414</v>
      </c>
      <c r="C602" s="56" t="s">
        <v>2415</v>
      </c>
      <c r="D602" s="39">
        <v>257</v>
      </c>
      <c r="E602" s="56" t="s">
        <v>2416</v>
      </c>
      <c r="F602" s="55" t="s">
        <v>2417</v>
      </c>
      <c r="G602" s="5">
        <f>IF(Estimation!$B$18="",0,IF(ISNUMBER(SEARCH(LOWER(Estimation!$B$18),F602)),1,0))</f>
        <v>0</v>
      </c>
      <c r="H602" s="5" t="str">
        <f>IF(G602=1,SUM($G$4:G602),"")</f>
        <v/>
      </c>
    </row>
    <row r="603" spans="1:8" x14ac:dyDescent="0.35">
      <c r="A603" s="56" t="s">
        <v>1681</v>
      </c>
      <c r="B603" s="56" t="s">
        <v>2418</v>
      </c>
      <c r="C603" s="56" t="s">
        <v>2419</v>
      </c>
      <c r="D603" s="39">
        <v>87</v>
      </c>
      <c r="E603" s="56" t="s">
        <v>2420</v>
      </c>
      <c r="F603" s="55" t="s">
        <v>2421</v>
      </c>
      <c r="G603" s="5">
        <f>IF(Estimation!$B$18="",0,IF(ISNUMBER(SEARCH(LOWER(Estimation!$B$18),F603)),1,0))</f>
        <v>0</v>
      </c>
      <c r="H603" s="5" t="str">
        <f>IF(G603=1,SUM($G$4:G603),"")</f>
        <v/>
      </c>
    </row>
    <row r="604" spans="1:8" x14ac:dyDescent="0.35">
      <c r="A604" s="56" t="s">
        <v>1681</v>
      </c>
      <c r="B604" s="56" t="s">
        <v>2422</v>
      </c>
      <c r="C604" s="56" t="s">
        <v>2423</v>
      </c>
      <c r="D604" s="39">
        <v>89</v>
      </c>
      <c r="E604" s="56" t="s">
        <v>2424</v>
      </c>
      <c r="F604" s="55" t="s">
        <v>2425</v>
      </c>
      <c r="G604" s="5">
        <f>IF(Estimation!$B$18="",0,IF(ISNUMBER(SEARCH(LOWER(Estimation!$B$18),F604)),1,0))</f>
        <v>0</v>
      </c>
      <c r="H604" s="5" t="str">
        <f>IF(G604=1,SUM($G$4:G604),"")</f>
        <v/>
      </c>
    </row>
    <row r="605" spans="1:8" x14ac:dyDescent="0.35">
      <c r="A605" s="56" t="s">
        <v>1681</v>
      </c>
      <c r="B605" s="56" t="s">
        <v>2426</v>
      </c>
      <c r="C605" s="56" t="s">
        <v>2427</v>
      </c>
      <c r="D605" s="39">
        <v>72</v>
      </c>
      <c r="E605" s="56" t="s">
        <v>2428</v>
      </c>
      <c r="F605" s="55" t="s">
        <v>2429</v>
      </c>
      <c r="G605" s="5">
        <f>IF(Estimation!$B$18="",0,IF(ISNUMBER(SEARCH(LOWER(Estimation!$B$18),F605)),1,0))</f>
        <v>0</v>
      </c>
      <c r="H605" s="5" t="str">
        <f>IF(G605=1,SUM($G$4:G605),"")</f>
        <v/>
      </c>
    </row>
    <row r="606" spans="1:8" x14ac:dyDescent="0.35">
      <c r="A606" s="56" t="s">
        <v>1681</v>
      </c>
      <c r="B606" s="56" t="s">
        <v>2430</v>
      </c>
      <c r="C606" s="56" t="s">
        <v>2431</v>
      </c>
      <c r="D606" s="39">
        <v>77</v>
      </c>
      <c r="E606" s="56" t="s">
        <v>2432</v>
      </c>
      <c r="F606" s="55" t="s">
        <v>2433</v>
      </c>
      <c r="G606" s="5">
        <f>IF(Estimation!$B$18="",0,IF(ISNUMBER(SEARCH(LOWER(Estimation!$B$18),F606)),1,0))</f>
        <v>0</v>
      </c>
      <c r="H606" s="5" t="str">
        <f>IF(G606=1,SUM($G$4:G606),"")</f>
        <v/>
      </c>
    </row>
    <row r="607" spans="1:8" x14ac:dyDescent="0.35">
      <c r="A607" s="56" t="s">
        <v>1681</v>
      </c>
      <c r="B607" s="56" t="s">
        <v>2434</v>
      </c>
      <c r="C607" s="56" t="s">
        <v>2435</v>
      </c>
      <c r="D607" s="39">
        <v>217</v>
      </c>
      <c r="E607" s="56" t="s">
        <v>2436</v>
      </c>
      <c r="F607" s="55" t="s">
        <v>2437</v>
      </c>
      <c r="G607" s="5">
        <f>IF(Estimation!$B$18="",0,IF(ISNUMBER(SEARCH(LOWER(Estimation!$B$18),F607)),1,0))</f>
        <v>0</v>
      </c>
      <c r="H607" s="5" t="str">
        <f>IF(G607=1,SUM($G$4:G607),"")</f>
        <v/>
      </c>
    </row>
    <row r="608" spans="1:8" x14ac:dyDescent="0.35">
      <c r="A608" s="56" t="s">
        <v>1681</v>
      </c>
      <c r="B608" s="56" t="s">
        <v>2438</v>
      </c>
      <c r="C608" s="56" t="s">
        <v>2439</v>
      </c>
      <c r="D608" s="39">
        <v>238</v>
      </c>
      <c r="E608" s="56" t="s">
        <v>2440</v>
      </c>
      <c r="F608" s="55" t="s">
        <v>2441</v>
      </c>
      <c r="G608" s="5">
        <f>IF(Estimation!$B$18="",0,IF(ISNUMBER(SEARCH(LOWER(Estimation!$B$18),F608)),1,0))</f>
        <v>0</v>
      </c>
      <c r="H608" s="5" t="str">
        <f>IF(G608=1,SUM($G$4:G608),"")</f>
        <v/>
      </c>
    </row>
    <row r="609" spans="1:8" x14ac:dyDescent="0.35">
      <c r="A609" s="56" t="s">
        <v>1681</v>
      </c>
      <c r="B609" s="56" t="s">
        <v>2442</v>
      </c>
      <c r="C609" s="56" t="s">
        <v>2443</v>
      </c>
      <c r="D609" s="39">
        <v>15</v>
      </c>
      <c r="E609" s="56" t="s">
        <v>2444</v>
      </c>
      <c r="F609" s="55" t="s">
        <v>2445</v>
      </c>
      <c r="G609" s="5">
        <f>IF(Estimation!$B$18="",0,IF(ISNUMBER(SEARCH(LOWER(Estimation!$B$18),F609)),1,0))</f>
        <v>0</v>
      </c>
      <c r="H609" s="5" t="str">
        <f>IF(G609=1,SUM($G$4:G609),"")</f>
        <v/>
      </c>
    </row>
    <row r="610" spans="1:8" x14ac:dyDescent="0.35">
      <c r="A610" s="56" t="s">
        <v>1681</v>
      </c>
      <c r="B610" s="56" t="s">
        <v>2446</v>
      </c>
      <c r="C610" s="56" t="s">
        <v>2447</v>
      </c>
      <c r="D610" s="39">
        <v>15</v>
      </c>
      <c r="E610" s="56" t="s">
        <v>2448</v>
      </c>
      <c r="F610" s="55" t="s">
        <v>2449</v>
      </c>
      <c r="G610" s="5">
        <f>IF(Estimation!$B$18="",0,IF(ISNUMBER(SEARCH(LOWER(Estimation!$B$18),F610)),1,0))</f>
        <v>0</v>
      </c>
      <c r="H610" s="5" t="str">
        <f>IF(G610=1,SUM($G$4:G610),"")</f>
        <v/>
      </c>
    </row>
    <row r="611" spans="1:8" x14ac:dyDescent="0.35">
      <c r="A611" s="56" t="s">
        <v>1681</v>
      </c>
      <c r="B611" s="56" t="s">
        <v>2450</v>
      </c>
      <c r="C611" s="56" t="s">
        <v>2451</v>
      </c>
      <c r="D611" s="39">
        <v>15</v>
      </c>
      <c r="E611" s="56" t="s">
        <v>2452</v>
      </c>
      <c r="F611" s="55" t="s">
        <v>2453</v>
      </c>
      <c r="G611" s="5">
        <f>IF(Estimation!$B$18="",0,IF(ISNUMBER(SEARCH(LOWER(Estimation!$B$18),F611)),1,0))</f>
        <v>0</v>
      </c>
      <c r="H611" s="5" t="str">
        <f>IF(G611=1,SUM($G$4:G611),"")</f>
        <v/>
      </c>
    </row>
    <row r="612" spans="1:8" x14ac:dyDescent="0.35">
      <c r="A612" s="56" t="s">
        <v>1681</v>
      </c>
      <c r="B612" s="56" t="s">
        <v>2454</v>
      </c>
      <c r="C612" s="56" t="s">
        <v>2455</v>
      </c>
      <c r="D612" s="39">
        <v>15</v>
      </c>
      <c r="E612" s="56" t="s">
        <v>2456</v>
      </c>
      <c r="F612" s="55" t="s">
        <v>2457</v>
      </c>
      <c r="G612" s="5">
        <f>IF(Estimation!$B$18="",0,IF(ISNUMBER(SEARCH(LOWER(Estimation!$B$18),F612)),1,0))</f>
        <v>0</v>
      </c>
      <c r="H612" s="5" t="str">
        <f>IF(G612=1,SUM($G$4:G612),"")</f>
        <v/>
      </c>
    </row>
    <row r="613" spans="1:8" x14ac:dyDescent="0.35">
      <c r="A613" s="56" t="s">
        <v>1681</v>
      </c>
      <c r="B613" s="56" t="s">
        <v>2458</v>
      </c>
      <c r="C613" s="56" t="s">
        <v>2459</v>
      </c>
      <c r="D613" s="39">
        <v>15</v>
      </c>
      <c r="E613" s="56" t="s">
        <v>2460</v>
      </c>
      <c r="F613" s="55" t="s">
        <v>2461</v>
      </c>
      <c r="G613" s="5">
        <f>IF(Estimation!$B$18="",0,IF(ISNUMBER(SEARCH(LOWER(Estimation!$B$18),F613)),1,0))</f>
        <v>0</v>
      </c>
      <c r="H613" s="5" t="str">
        <f>IF(G613=1,SUM($G$4:G613),"")</f>
        <v/>
      </c>
    </row>
    <row r="614" spans="1:8" x14ac:dyDescent="0.35">
      <c r="A614" s="56" t="s">
        <v>1681</v>
      </c>
      <c r="B614" s="56" t="s">
        <v>2462</v>
      </c>
      <c r="C614" s="56" t="s">
        <v>2463</v>
      </c>
      <c r="D614" s="39">
        <v>15</v>
      </c>
      <c r="E614" s="56" t="s">
        <v>2464</v>
      </c>
      <c r="F614" s="55" t="s">
        <v>2465</v>
      </c>
      <c r="G614" s="5">
        <f>IF(Estimation!$B$18="",0,IF(ISNUMBER(SEARCH(LOWER(Estimation!$B$18),F614)),1,0))</f>
        <v>0</v>
      </c>
      <c r="H614" s="5" t="str">
        <f>IF(G614=1,SUM($G$4:G614),"")</f>
        <v/>
      </c>
    </row>
    <row r="615" spans="1:8" x14ac:dyDescent="0.35">
      <c r="A615" s="56" t="s">
        <v>1681</v>
      </c>
      <c r="B615" s="56" t="s">
        <v>2466</v>
      </c>
      <c r="C615" s="56" t="s">
        <v>2467</v>
      </c>
      <c r="D615" s="39">
        <v>15</v>
      </c>
      <c r="E615" s="56" t="s">
        <v>2468</v>
      </c>
      <c r="F615" s="55" t="s">
        <v>2469</v>
      </c>
      <c r="G615" s="5">
        <f>IF(Estimation!$B$18="",0,IF(ISNUMBER(SEARCH(LOWER(Estimation!$B$18),F615)),1,0))</f>
        <v>0</v>
      </c>
      <c r="H615" s="5" t="str">
        <f>IF(G615=1,SUM($G$4:G615),"")</f>
        <v/>
      </c>
    </row>
    <row r="616" spans="1:8" x14ac:dyDescent="0.35">
      <c r="A616" s="56" t="s">
        <v>1681</v>
      </c>
      <c r="B616" s="56" t="s">
        <v>2470</v>
      </c>
      <c r="C616" s="56" t="s">
        <v>2471</v>
      </c>
      <c r="D616" s="39">
        <v>15</v>
      </c>
      <c r="E616" s="56" t="s">
        <v>2472</v>
      </c>
      <c r="F616" s="55" t="s">
        <v>2473</v>
      </c>
      <c r="G616" s="5">
        <f>IF(Estimation!$B$18="",0,IF(ISNUMBER(SEARCH(LOWER(Estimation!$B$18),F616)),1,0))</f>
        <v>0</v>
      </c>
      <c r="H616" s="5" t="str">
        <f>IF(G616=1,SUM($G$4:G616),"")</f>
        <v/>
      </c>
    </row>
    <row r="617" spans="1:8" x14ac:dyDescent="0.35">
      <c r="A617" s="56" t="s">
        <v>1681</v>
      </c>
      <c r="B617" s="56" t="s">
        <v>2474</v>
      </c>
      <c r="C617" s="56" t="s">
        <v>2475</v>
      </c>
      <c r="D617" s="39">
        <v>148</v>
      </c>
      <c r="E617" s="56" t="s">
        <v>2476</v>
      </c>
      <c r="F617" s="55" t="s">
        <v>2477</v>
      </c>
      <c r="G617" s="5">
        <f>IF(Estimation!$B$18="",0,IF(ISNUMBER(SEARCH(LOWER(Estimation!$B$18),F617)),1,0))</f>
        <v>0</v>
      </c>
      <c r="H617" s="5" t="str">
        <f>IF(G617=1,SUM($G$4:G617),"")</f>
        <v/>
      </c>
    </row>
    <row r="618" spans="1:8" x14ac:dyDescent="0.35">
      <c r="A618" s="56" t="s">
        <v>1681</v>
      </c>
      <c r="B618" s="56" t="s">
        <v>2478</v>
      </c>
      <c r="C618" s="56" t="s">
        <v>2479</v>
      </c>
      <c r="D618" s="39">
        <v>53</v>
      </c>
      <c r="E618" s="56" t="s">
        <v>2480</v>
      </c>
      <c r="F618" s="55" t="s">
        <v>2481</v>
      </c>
      <c r="G618" s="5">
        <f>IF(Estimation!$B$18="",0,IF(ISNUMBER(SEARCH(LOWER(Estimation!$B$18),F618)),1,0))</f>
        <v>0</v>
      </c>
      <c r="H618" s="5" t="str">
        <f>IF(G618=1,SUM($G$4:G618),"")</f>
        <v/>
      </c>
    </row>
    <row r="619" spans="1:8" x14ac:dyDescent="0.35">
      <c r="A619" s="56" t="s">
        <v>1681</v>
      </c>
      <c r="B619" s="56" t="s">
        <v>2482</v>
      </c>
      <c r="C619" s="56" t="s">
        <v>2483</v>
      </c>
      <c r="D619" s="39">
        <v>60</v>
      </c>
      <c r="E619" s="56" t="s">
        <v>2484</v>
      </c>
      <c r="F619" s="55" t="s">
        <v>2485</v>
      </c>
      <c r="G619" s="5">
        <f>IF(Estimation!$B$18="",0,IF(ISNUMBER(SEARCH(LOWER(Estimation!$B$18),F619)),1,0))</f>
        <v>0</v>
      </c>
      <c r="H619" s="5" t="str">
        <f>IF(G619=1,SUM($G$4:G619),"")</f>
        <v/>
      </c>
    </row>
    <row r="620" spans="1:8" x14ac:dyDescent="0.35">
      <c r="A620" s="56" t="s">
        <v>1681</v>
      </c>
      <c r="B620" s="56" t="s">
        <v>2486</v>
      </c>
      <c r="C620" s="56" t="s">
        <v>2487</v>
      </c>
      <c r="D620" s="39">
        <v>80</v>
      </c>
      <c r="E620" s="56" t="s">
        <v>2488</v>
      </c>
      <c r="F620" s="55" t="s">
        <v>2489</v>
      </c>
      <c r="G620" s="5">
        <f>IF(Estimation!$B$18="",0,IF(ISNUMBER(SEARCH(LOWER(Estimation!$B$18),F620)),1,0))</f>
        <v>0</v>
      </c>
      <c r="H620" s="5" t="str">
        <f>IF(G620=1,SUM($G$4:G620),"")</f>
        <v/>
      </c>
    </row>
    <row r="621" spans="1:8" x14ac:dyDescent="0.35">
      <c r="A621" s="56" t="s">
        <v>1681</v>
      </c>
      <c r="B621" s="56" t="s">
        <v>2490</v>
      </c>
      <c r="C621" s="56" t="s">
        <v>2491</v>
      </c>
      <c r="D621" s="39">
        <v>29</v>
      </c>
      <c r="E621" s="56" t="s">
        <v>2492</v>
      </c>
      <c r="F621" s="55" t="s">
        <v>2493</v>
      </c>
      <c r="G621" s="5">
        <f>IF(Estimation!$B$18="",0,IF(ISNUMBER(SEARCH(LOWER(Estimation!$B$18),F621)),1,0))</f>
        <v>0</v>
      </c>
      <c r="H621" s="5" t="str">
        <f>IF(G621=1,SUM($G$4:G621),"")</f>
        <v/>
      </c>
    </row>
    <row r="622" spans="1:8" x14ac:dyDescent="0.35">
      <c r="A622" s="56" t="s">
        <v>1681</v>
      </c>
      <c r="B622" s="56" t="s">
        <v>2494</v>
      </c>
      <c r="C622" s="56" t="s">
        <v>2495</v>
      </c>
      <c r="D622" s="39">
        <v>354</v>
      </c>
      <c r="E622" s="56" t="s">
        <v>2496</v>
      </c>
      <c r="F622" s="55" t="s">
        <v>2497</v>
      </c>
      <c r="G622" s="5">
        <f>IF(Estimation!$B$18="",0,IF(ISNUMBER(SEARCH(LOWER(Estimation!$B$18),F622)),1,0))</f>
        <v>0</v>
      </c>
      <c r="H622" s="5" t="str">
        <f>IF(G622=1,SUM($G$4:G622),"")</f>
        <v/>
      </c>
    </row>
    <row r="623" spans="1:8" x14ac:dyDescent="0.35">
      <c r="A623" s="56" t="s">
        <v>1681</v>
      </c>
      <c r="B623" s="56" t="s">
        <v>2498</v>
      </c>
      <c r="C623" s="56" t="s">
        <v>2499</v>
      </c>
      <c r="D623" s="39">
        <v>714</v>
      </c>
      <c r="E623" s="56" t="s">
        <v>2500</v>
      </c>
      <c r="F623" s="55" t="s">
        <v>2501</v>
      </c>
      <c r="G623" s="5">
        <f>IF(Estimation!$B$18="",0,IF(ISNUMBER(SEARCH(LOWER(Estimation!$B$18),F623)),1,0))</f>
        <v>0</v>
      </c>
      <c r="H623" s="5" t="str">
        <f>IF(G623=1,SUM($G$4:G623),"")</f>
        <v/>
      </c>
    </row>
    <row r="624" spans="1:8" x14ac:dyDescent="0.35">
      <c r="A624" s="56" t="s">
        <v>1681</v>
      </c>
      <c r="B624" s="56" t="s">
        <v>2502</v>
      </c>
      <c r="C624" s="56" t="s">
        <v>2503</v>
      </c>
      <c r="D624" s="39">
        <v>60</v>
      </c>
      <c r="E624" s="56" t="s">
        <v>2504</v>
      </c>
      <c r="F624" s="55" t="s">
        <v>2505</v>
      </c>
      <c r="G624" s="5">
        <f>IF(Estimation!$B$18="",0,IF(ISNUMBER(SEARCH(LOWER(Estimation!$B$18),F624)),1,0))</f>
        <v>0</v>
      </c>
      <c r="H624" s="5" t="str">
        <f>IF(G624=1,SUM($G$4:G624),"")</f>
        <v/>
      </c>
    </row>
    <row r="625" spans="1:8" x14ac:dyDescent="0.35">
      <c r="A625" s="56" t="s">
        <v>1681</v>
      </c>
      <c r="B625" s="56" t="s">
        <v>2506</v>
      </c>
      <c r="C625" s="56" t="s">
        <v>2507</v>
      </c>
      <c r="D625" s="39">
        <v>60</v>
      </c>
      <c r="E625" s="56" t="s">
        <v>2508</v>
      </c>
      <c r="F625" s="55" t="s">
        <v>2509</v>
      </c>
      <c r="G625" s="5">
        <f>IF(Estimation!$B$18="",0,IF(ISNUMBER(SEARCH(LOWER(Estimation!$B$18),F625)),1,0))</f>
        <v>0</v>
      </c>
      <c r="H625" s="5" t="str">
        <f>IF(G625=1,SUM($G$4:G625),"")</f>
        <v/>
      </c>
    </row>
    <row r="626" spans="1:8" x14ac:dyDescent="0.35">
      <c r="A626" s="56" t="s">
        <v>1681</v>
      </c>
      <c r="B626" s="56" t="s">
        <v>2510</v>
      </c>
      <c r="C626" s="56" t="s">
        <v>2511</v>
      </c>
      <c r="D626" s="39">
        <v>60</v>
      </c>
      <c r="E626" s="56" t="s">
        <v>2512</v>
      </c>
      <c r="F626" s="55" t="s">
        <v>2513</v>
      </c>
      <c r="G626" s="5">
        <f>IF(Estimation!$B$18="",0,IF(ISNUMBER(SEARCH(LOWER(Estimation!$B$18),F626)),1,0))</f>
        <v>0</v>
      </c>
      <c r="H626" s="5" t="str">
        <f>IF(G626=1,SUM($G$4:G626),"")</f>
        <v/>
      </c>
    </row>
    <row r="627" spans="1:8" x14ac:dyDescent="0.35">
      <c r="A627" s="56" t="s">
        <v>1681</v>
      </c>
      <c r="B627" s="56" t="s">
        <v>2514</v>
      </c>
      <c r="C627" s="56" t="s">
        <v>2515</v>
      </c>
      <c r="D627" s="39">
        <v>60</v>
      </c>
      <c r="E627" s="56" t="s">
        <v>2516</v>
      </c>
      <c r="F627" s="55" t="s">
        <v>2517</v>
      </c>
      <c r="G627" s="5">
        <f>IF(Estimation!$B$18="",0,IF(ISNUMBER(SEARCH(LOWER(Estimation!$B$18),F627)),1,0))</f>
        <v>0</v>
      </c>
      <c r="H627" s="5" t="str">
        <f>IF(G627=1,SUM($G$4:G627),"")</f>
        <v/>
      </c>
    </row>
    <row r="628" spans="1:8" x14ac:dyDescent="0.35">
      <c r="A628" s="56" t="s">
        <v>1681</v>
      </c>
      <c r="B628" s="56" t="s">
        <v>2518</v>
      </c>
      <c r="C628" s="56" t="s">
        <v>2519</v>
      </c>
      <c r="D628" s="39">
        <v>60</v>
      </c>
      <c r="E628" s="56" t="s">
        <v>2520</v>
      </c>
      <c r="F628" s="55" t="s">
        <v>2521</v>
      </c>
      <c r="G628" s="5">
        <f>IF(Estimation!$B$18="",0,IF(ISNUMBER(SEARCH(LOWER(Estimation!$B$18),F628)),1,0))</f>
        <v>0</v>
      </c>
      <c r="H628" s="5" t="str">
        <f>IF(G628=1,SUM($G$4:G628),"")</f>
        <v/>
      </c>
    </row>
    <row r="629" spans="1:8" x14ac:dyDescent="0.35">
      <c r="A629" s="56" t="s">
        <v>1681</v>
      </c>
      <c r="B629" s="56" t="s">
        <v>2522</v>
      </c>
      <c r="C629" s="56" t="s">
        <v>2523</v>
      </c>
      <c r="D629" s="39">
        <v>380</v>
      </c>
      <c r="E629" s="56" t="s">
        <v>2524</v>
      </c>
      <c r="F629" s="55" t="s">
        <v>2525</v>
      </c>
      <c r="G629" s="5">
        <f>IF(Estimation!$B$18="",0,IF(ISNUMBER(SEARCH(LOWER(Estimation!$B$18),F629)),1,0))</f>
        <v>0</v>
      </c>
      <c r="H629" s="5" t="str">
        <f>IF(G629=1,SUM($G$4:G629),"")</f>
        <v/>
      </c>
    </row>
    <row r="630" spans="1:8" x14ac:dyDescent="0.35">
      <c r="A630" s="56" t="s">
        <v>1681</v>
      </c>
      <c r="B630" s="56" t="s">
        <v>2526</v>
      </c>
      <c r="C630" s="56" t="s">
        <v>2527</v>
      </c>
      <c r="D630" s="39">
        <v>40</v>
      </c>
      <c r="E630" s="56" t="s">
        <v>2528</v>
      </c>
      <c r="F630" s="55" t="s">
        <v>2529</v>
      </c>
      <c r="G630" s="5">
        <f>IF(Estimation!$B$18="",0,IF(ISNUMBER(SEARCH(LOWER(Estimation!$B$18),F630)),1,0))</f>
        <v>0</v>
      </c>
      <c r="H630" s="5" t="str">
        <f>IF(G630=1,SUM($G$4:G630),"")</f>
        <v/>
      </c>
    </row>
    <row r="631" spans="1:8" x14ac:dyDescent="0.35">
      <c r="A631" s="56" t="s">
        <v>1681</v>
      </c>
      <c r="B631" s="56" t="s">
        <v>2530</v>
      </c>
      <c r="C631" s="56" t="s">
        <v>2531</v>
      </c>
      <c r="D631" s="39">
        <v>42</v>
      </c>
      <c r="E631" s="56" t="s">
        <v>2532</v>
      </c>
      <c r="F631" s="55" t="s">
        <v>2533</v>
      </c>
      <c r="G631" s="5">
        <f>IF(Estimation!$B$18="",0,IF(ISNUMBER(SEARCH(LOWER(Estimation!$B$18),F631)),1,0))</f>
        <v>0</v>
      </c>
      <c r="H631" s="5" t="str">
        <f>IF(G631=1,SUM($G$4:G631),"")</f>
        <v/>
      </c>
    </row>
    <row r="632" spans="1:8" x14ac:dyDescent="0.35">
      <c r="A632" s="56" t="s">
        <v>1681</v>
      </c>
      <c r="B632" s="56" t="s">
        <v>2534</v>
      </c>
      <c r="C632" s="56" t="s">
        <v>2535</v>
      </c>
      <c r="D632" s="39">
        <v>70</v>
      </c>
      <c r="E632" s="56" t="s">
        <v>2536</v>
      </c>
      <c r="F632" s="55" t="s">
        <v>2537</v>
      </c>
      <c r="G632" s="5">
        <f>IF(Estimation!$B$18="",0,IF(ISNUMBER(SEARCH(LOWER(Estimation!$B$18),F632)),1,0))</f>
        <v>0</v>
      </c>
      <c r="H632" s="5" t="str">
        <f>IF(G632=1,SUM($G$4:G632),"")</f>
        <v/>
      </c>
    </row>
    <row r="633" spans="1:8" x14ac:dyDescent="0.35">
      <c r="A633" s="56" t="s">
        <v>1681</v>
      </c>
      <c r="B633" s="56" t="s">
        <v>2538</v>
      </c>
      <c r="C633" s="56" t="s">
        <v>2539</v>
      </c>
      <c r="D633" s="39">
        <v>110</v>
      </c>
      <c r="E633" s="56" t="s">
        <v>2540</v>
      </c>
      <c r="F633" s="55" t="s">
        <v>2541</v>
      </c>
      <c r="G633" s="5">
        <f>IF(Estimation!$B$18="",0,IF(ISNUMBER(SEARCH(LOWER(Estimation!$B$18),F633)),1,0))</f>
        <v>0</v>
      </c>
      <c r="H633" s="5" t="str">
        <f>IF(G633=1,SUM($G$4:G633),"")</f>
        <v/>
      </c>
    </row>
    <row r="634" spans="1:8" x14ac:dyDescent="0.35">
      <c r="A634" s="56" t="s">
        <v>1681</v>
      </c>
      <c r="B634" s="56" t="s">
        <v>2542</v>
      </c>
      <c r="C634" s="56" t="s">
        <v>2543</v>
      </c>
      <c r="D634" s="39">
        <v>100</v>
      </c>
      <c r="E634" s="56" t="s">
        <v>2544</v>
      </c>
      <c r="F634" s="55" t="s">
        <v>2545</v>
      </c>
      <c r="G634" s="5">
        <f>IF(Estimation!$B$18="",0,IF(ISNUMBER(SEARCH(LOWER(Estimation!$B$18),F634)),1,0))</f>
        <v>0</v>
      </c>
      <c r="H634" s="5" t="str">
        <f>IF(G634=1,SUM($G$4:G634),"")</f>
        <v/>
      </c>
    </row>
    <row r="635" spans="1:8" x14ac:dyDescent="0.35">
      <c r="A635" s="56" t="s">
        <v>1681</v>
      </c>
      <c r="B635" s="56" t="s">
        <v>2546</v>
      </c>
      <c r="C635" s="56" t="s">
        <v>2547</v>
      </c>
      <c r="D635" s="39">
        <v>65</v>
      </c>
      <c r="E635" s="56" t="s">
        <v>2548</v>
      </c>
      <c r="F635" s="55" t="s">
        <v>2549</v>
      </c>
      <c r="G635" s="5">
        <f>IF(Estimation!$B$18="",0,IF(ISNUMBER(SEARCH(LOWER(Estimation!$B$18),F635)),1,0))</f>
        <v>0</v>
      </c>
      <c r="H635" s="5" t="str">
        <f>IF(G635=1,SUM($G$4:G635),"")</f>
        <v/>
      </c>
    </row>
    <row r="636" spans="1:8" x14ac:dyDescent="0.35">
      <c r="A636" s="56" t="s">
        <v>1681</v>
      </c>
      <c r="B636" s="56" t="s">
        <v>2550</v>
      </c>
      <c r="C636" s="56" t="s">
        <v>2551</v>
      </c>
      <c r="D636" s="39">
        <v>100</v>
      </c>
      <c r="E636" s="56" t="s">
        <v>2552</v>
      </c>
      <c r="F636" s="55" t="s">
        <v>2553</v>
      </c>
      <c r="G636" s="5">
        <f>IF(Estimation!$B$18="",0,IF(ISNUMBER(SEARCH(LOWER(Estimation!$B$18),F636)),1,0))</f>
        <v>0</v>
      </c>
      <c r="H636" s="5" t="str">
        <f>IF(G636=1,SUM($G$4:G636),"")</f>
        <v/>
      </c>
    </row>
    <row r="637" spans="1:8" x14ac:dyDescent="0.35">
      <c r="A637" s="56" t="s">
        <v>1681</v>
      </c>
      <c r="B637" s="56" t="s">
        <v>2554</v>
      </c>
      <c r="C637" s="56" t="s">
        <v>2555</v>
      </c>
      <c r="D637" s="39">
        <v>70</v>
      </c>
      <c r="E637" s="56" t="s">
        <v>2556</v>
      </c>
      <c r="F637" s="55" t="s">
        <v>2557</v>
      </c>
      <c r="G637" s="5">
        <f>IF(Estimation!$B$18="",0,IF(ISNUMBER(SEARCH(LOWER(Estimation!$B$18),F637)),1,0))</f>
        <v>0</v>
      </c>
      <c r="H637" s="5" t="str">
        <f>IF(G637=1,SUM($G$4:G637),"")</f>
        <v/>
      </c>
    </row>
    <row r="638" spans="1:8" x14ac:dyDescent="0.35">
      <c r="A638" s="56" t="s">
        <v>1681</v>
      </c>
      <c r="B638" s="56" t="s">
        <v>2558</v>
      </c>
      <c r="C638" s="56" t="s">
        <v>2559</v>
      </c>
      <c r="D638" s="39">
        <v>140</v>
      </c>
      <c r="E638" s="56" t="s">
        <v>2560</v>
      </c>
      <c r="F638" s="55" t="s">
        <v>2561</v>
      </c>
      <c r="G638" s="5">
        <f>IF(Estimation!$B$18="",0,IF(ISNUMBER(SEARCH(LOWER(Estimation!$B$18),F638)),1,0))</f>
        <v>0</v>
      </c>
      <c r="H638" s="5" t="str">
        <f>IF(G638=1,SUM($G$4:G638),"")</f>
        <v/>
      </c>
    </row>
    <row r="639" spans="1:8" x14ac:dyDescent="0.35">
      <c r="A639" s="56" t="s">
        <v>1681</v>
      </c>
      <c r="B639" s="56" t="s">
        <v>2562</v>
      </c>
      <c r="C639" s="56" t="s">
        <v>2563</v>
      </c>
      <c r="D639" s="39">
        <v>185</v>
      </c>
      <c r="E639" s="56" t="s">
        <v>2564</v>
      </c>
      <c r="F639" s="55" t="s">
        <v>2565</v>
      </c>
      <c r="G639" s="5">
        <f>IF(Estimation!$B$18="",0,IF(ISNUMBER(SEARCH(LOWER(Estimation!$B$18),F639)),1,0))</f>
        <v>0</v>
      </c>
      <c r="H639" s="5" t="str">
        <f>IF(G639=1,SUM($G$4:G639),"")</f>
        <v/>
      </c>
    </row>
    <row r="640" spans="1:8" x14ac:dyDescent="0.35">
      <c r="A640" s="56" t="s">
        <v>1681</v>
      </c>
      <c r="B640" s="56" t="s">
        <v>2566</v>
      </c>
      <c r="C640" s="56" t="s">
        <v>2567</v>
      </c>
      <c r="D640" s="39">
        <v>185</v>
      </c>
      <c r="E640" s="56" t="s">
        <v>2568</v>
      </c>
      <c r="F640" s="55" t="s">
        <v>2569</v>
      </c>
      <c r="G640" s="5">
        <f>IF(Estimation!$B$18="",0,IF(ISNUMBER(SEARCH(LOWER(Estimation!$B$18),F640)),1,0))</f>
        <v>0</v>
      </c>
      <c r="H640" s="5" t="str">
        <f>IF(G640=1,SUM($G$4:G640),"")</f>
        <v/>
      </c>
    </row>
    <row r="641" spans="1:8" x14ac:dyDescent="0.35">
      <c r="A641" s="56" t="s">
        <v>1681</v>
      </c>
      <c r="B641" s="56" t="s">
        <v>2570</v>
      </c>
      <c r="C641" s="56" t="s">
        <v>2571</v>
      </c>
      <c r="D641" s="39">
        <v>198</v>
      </c>
      <c r="E641" s="56" t="s">
        <v>2572</v>
      </c>
      <c r="F641" s="55" t="s">
        <v>2573</v>
      </c>
      <c r="G641" s="5">
        <f>IF(Estimation!$B$18="",0,IF(ISNUMBER(SEARCH(LOWER(Estimation!$B$18),F641)),1,0))</f>
        <v>0</v>
      </c>
      <c r="H641" s="5" t="str">
        <f>IF(G641=1,SUM($G$4:G641),"")</f>
        <v/>
      </c>
    </row>
    <row r="642" spans="1:8" x14ac:dyDescent="0.35">
      <c r="A642" s="56" t="s">
        <v>1681</v>
      </c>
      <c r="B642" s="56" t="s">
        <v>2574</v>
      </c>
      <c r="C642" s="56" t="s">
        <v>2575</v>
      </c>
      <c r="D642" s="39">
        <v>180</v>
      </c>
      <c r="E642" s="56" t="s">
        <v>2576</v>
      </c>
      <c r="F642" s="55" t="s">
        <v>2577</v>
      </c>
      <c r="G642" s="5">
        <f>IF(Estimation!$B$18="",0,IF(ISNUMBER(SEARCH(LOWER(Estimation!$B$18),F642)),1,0))</f>
        <v>0</v>
      </c>
      <c r="H642" s="5" t="str">
        <f>IF(G642=1,SUM($G$4:G642),"")</f>
        <v/>
      </c>
    </row>
    <row r="643" spans="1:8" x14ac:dyDescent="0.35">
      <c r="A643" s="56" t="s">
        <v>1681</v>
      </c>
      <c r="B643" s="56" t="s">
        <v>2578</v>
      </c>
      <c r="C643" s="56" t="s">
        <v>2579</v>
      </c>
      <c r="D643" s="39">
        <v>91</v>
      </c>
      <c r="E643" s="56" t="s">
        <v>2580</v>
      </c>
      <c r="F643" s="55" t="s">
        <v>2581</v>
      </c>
      <c r="G643" s="5">
        <f>IF(Estimation!$B$18="",0,IF(ISNUMBER(SEARCH(LOWER(Estimation!$B$18),F643)),1,0))</f>
        <v>0</v>
      </c>
      <c r="H643" s="5" t="str">
        <f>IF(G643=1,SUM($G$4:G643),"")</f>
        <v/>
      </c>
    </row>
    <row r="644" spans="1:8" x14ac:dyDescent="0.35">
      <c r="A644" s="56" t="s">
        <v>1681</v>
      </c>
      <c r="B644" s="56" t="s">
        <v>2582</v>
      </c>
      <c r="C644" s="56" t="s">
        <v>2583</v>
      </c>
      <c r="D644" s="39">
        <v>121</v>
      </c>
      <c r="E644" s="56" t="s">
        <v>2584</v>
      </c>
      <c r="F644" s="55" t="s">
        <v>2585</v>
      </c>
      <c r="G644" s="5">
        <f>IF(Estimation!$B$18="",0,IF(ISNUMBER(SEARCH(LOWER(Estimation!$B$18),F644)),1,0))</f>
        <v>0</v>
      </c>
      <c r="H644" s="5" t="str">
        <f>IF(G644=1,SUM($G$4:G644),"")</f>
        <v/>
      </c>
    </row>
    <row r="645" spans="1:8" x14ac:dyDescent="0.35">
      <c r="A645" s="56" t="s">
        <v>1681</v>
      </c>
      <c r="B645" s="56" t="s">
        <v>2586</v>
      </c>
      <c r="C645" s="56" t="s">
        <v>2587</v>
      </c>
      <c r="D645" s="39">
        <v>226</v>
      </c>
      <c r="E645" s="56" t="s">
        <v>2588</v>
      </c>
      <c r="F645" s="55" t="s">
        <v>2589</v>
      </c>
      <c r="G645" s="5">
        <f>IF(Estimation!$B$18="",0,IF(ISNUMBER(SEARCH(LOWER(Estimation!$B$18),F645)),1,0))</f>
        <v>0</v>
      </c>
      <c r="H645" s="5" t="str">
        <f>IF(G645=1,SUM($G$4:G645),"")</f>
        <v/>
      </c>
    </row>
    <row r="646" spans="1:8" x14ac:dyDescent="0.35">
      <c r="A646" s="56" t="s">
        <v>1681</v>
      </c>
      <c r="B646" s="56" t="s">
        <v>2590</v>
      </c>
      <c r="C646" s="56" t="s">
        <v>2591</v>
      </c>
      <c r="D646" s="39">
        <v>226</v>
      </c>
      <c r="E646" s="56" t="s">
        <v>2592</v>
      </c>
      <c r="F646" s="55" t="s">
        <v>2593</v>
      </c>
      <c r="G646" s="5">
        <f>IF(Estimation!$B$18="",0,IF(ISNUMBER(SEARCH(LOWER(Estimation!$B$18),F646)),1,0))</f>
        <v>0</v>
      </c>
      <c r="H646" s="5" t="str">
        <f>IF(G646=1,SUM($G$4:G646),"")</f>
        <v/>
      </c>
    </row>
    <row r="647" spans="1:8" x14ac:dyDescent="0.35">
      <c r="A647" s="56" t="s">
        <v>1681</v>
      </c>
      <c r="B647" s="56" t="s">
        <v>2594</v>
      </c>
      <c r="C647" s="56" t="s">
        <v>2595</v>
      </c>
      <c r="D647" s="39">
        <v>221</v>
      </c>
      <c r="E647" s="56" t="s">
        <v>2596</v>
      </c>
      <c r="F647" s="55" t="s">
        <v>2597</v>
      </c>
      <c r="G647" s="5">
        <f>IF(Estimation!$B$18="",0,IF(ISNUMBER(SEARCH(LOWER(Estimation!$B$18),F647)),1,0))</f>
        <v>0</v>
      </c>
      <c r="H647" s="5" t="str">
        <f>IF(G647=1,SUM($G$4:G647),"")</f>
        <v/>
      </c>
    </row>
    <row r="648" spans="1:8" x14ac:dyDescent="0.35">
      <c r="A648" s="56" t="s">
        <v>1681</v>
      </c>
      <c r="B648" s="56" t="s">
        <v>2598</v>
      </c>
      <c r="C648" s="56" t="s">
        <v>2599</v>
      </c>
      <c r="D648" s="39">
        <v>221</v>
      </c>
      <c r="E648" s="56" t="s">
        <v>2600</v>
      </c>
      <c r="F648" s="55" t="s">
        <v>2601</v>
      </c>
      <c r="G648" s="5">
        <f>IF(Estimation!$B$18="",0,IF(ISNUMBER(SEARCH(LOWER(Estimation!$B$18),F648)),1,0))</f>
        <v>0</v>
      </c>
      <c r="H648" s="5" t="str">
        <f>IF(G648=1,SUM($G$4:G648),"")</f>
        <v/>
      </c>
    </row>
    <row r="649" spans="1:8" x14ac:dyDescent="0.35">
      <c r="A649" s="56" t="s">
        <v>1681</v>
      </c>
      <c r="B649" s="56" t="s">
        <v>2602</v>
      </c>
      <c r="C649" s="56" t="s">
        <v>2603</v>
      </c>
      <c r="D649" s="39">
        <v>248</v>
      </c>
      <c r="E649" s="56" t="s">
        <v>2604</v>
      </c>
      <c r="F649" s="55" t="s">
        <v>2605</v>
      </c>
      <c r="G649" s="5">
        <f>IF(Estimation!$B$18="",0,IF(ISNUMBER(SEARCH(LOWER(Estimation!$B$18),F649)),1,0))</f>
        <v>0</v>
      </c>
      <c r="H649" s="5" t="str">
        <f>IF(G649=1,SUM($G$4:G649),"")</f>
        <v/>
      </c>
    </row>
    <row r="650" spans="1:8" x14ac:dyDescent="0.35">
      <c r="A650" s="56" t="s">
        <v>1681</v>
      </c>
      <c r="B650" s="56" t="s">
        <v>2606</v>
      </c>
      <c r="C650" s="56" t="s">
        <v>2607</v>
      </c>
      <c r="D650" s="39">
        <v>248</v>
      </c>
      <c r="E650" s="56" t="s">
        <v>2608</v>
      </c>
      <c r="F650" s="55" t="s">
        <v>2609</v>
      </c>
      <c r="G650" s="5">
        <f>IF(Estimation!$B$18="",0,IF(ISNUMBER(SEARCH(LOWER(Estimation!$B$18),F650)),1,0))</f>
        <v>0</v>
      </c>
      <c r="H650" s="5" t="str">
        <f>IF(G650=1,SUM($G$4:G650),"")</f>
        <v/>
      </c>
    </row>
    <row r="651" spans="1:8" x14ac:dyDescent="0.35">
      <c r="A651" s="56" t="s">
        <v>1681</v>
      </c>
      <c r="B651" s="56" t="s">
        <v>2610</v>
      </c>
      <c r="C651" s="56" t="s">
        <v>2611</v>
      </c>
      <c r="D651" s="39">
        <v>248</v>
      </c>
      <c r="E651" s="56" t="s">
        <v>2612</v>
      </c>
      <c r="F651" s="55" t="s">
        <v>2613</v>
      </c>
      <c r="G651" s="5">
        <f>IF(Estimation!$B$18="",0,IF(ISNUMBER(SEARCH(LOWER(Estimation!$B$18),F651)),1,0))</f>
        <v>0</v>
      </c>
      <c r="H651" s="5" t="str">
        <f>IF(G651=1,SUM($G$4:G651),"")</f>
        <v/>
      </c>
    </row>
    <row r="652" spans="1:8" x14ac:dyDescent="0.35">
      <c r="A652" s="56" t="s">
        <v>1681</v>
      </c>
      <c r="B652" s="56" t="s">
        <v>2614</v>
      </c>
      <c r="C652" s="56" t="s">
        <v>2615</v>
      </c>
      <c r="D652" s="39">
        <v>280</v>
      </c>
      <c r="E652" s="56" t="s">
        <v>2616</v>
      </c>
      <c r="F652" s="55" t="s">
        <v>2617</v>
      </c>
      <c r="G652" s="5">
        <f>IF(Estimation!$B$18="",0,IF(ISNUMBER(SEARCH(LOWER(Estimation!$B$18),F652)),1,0))</f>
        <v>0</v>
      </c>
      <c r="H652" s="5" t="str">
        <f>IF(G652=1,SUM($G$4:G652),"")</f>
        <v/>
      </c>
    </row>
    <row r="653" spans="1:8" x14ac:dyDescent="0.35">
      <c r="A653" s="56" t="s">
        <v>1681</v>
      </c>
      <c r="B653" s="56" t="s">
        <v>2618</v>
      </c>
      <c r="C653" s="56" t="s">
        <v>2619</v>
      </c>
      <c r="D653" s="39">
        <v>291</v>
      </c>
      <c r="E653" s="56" t="s">
        <v>2620</v>
      </c>
      <c r="F653" s="55" t="s">
        <v>2621</v>
      </c>
      <c r="G653" s="5">
        <f>IF(Estimation!$B$18="",0,IF(ISNUMBER(SEARCH(LOWER(Estimation!$B$18),F653)),1,0))</f>
        <v>0</v>
      </c>
      <c r="H653" s="5" t="str">
        <f>IF(G653=1,SUM($G$4:G653),"")</f>
        <v/>
      </c>
    </row>
    <row r="654" spans="1:8" x14ac:dyDescent="0.35">
      <c r="A654" s="56" t="s">
        <v>1681</v>
      </c>
      <c r="B654" s="56" t="s">
        <v>2622</v>
      </c>
      <c r="C654" s="56" t="s">
        <v>2623</v>
      </c>
      <c r="D654" s="39">
        <v>143</v>
      </c>
      <c r="E654" s="56" t="s">
        <v>2624</v>
      </c>
      <c r="F654" s="55" t="s">
        <v>2625</v>
      </c>
      <c r="G654" s="5">
        <f>IF(Estimation!$B$18="",0,IF(ISNUMBER(SEARCH(LOWER(Estimation!$B$18),F654)),1,0))</f>
        <v>0</v>
      </c>
      <c r="H654" s="5" t="str">
        <f>IF(G654=1,SUM($G$4:G654),"")</f>
        <v/>
      </c>
    </row>
    <row r="655" spans="1:8" x14ac:dyDescent="0.35">
      <c r="A655" s="56" t="s">
        <v>1681</v>
      </c>
      <c r="B655" s="56" t="s">
        <v>2626</v>
      </c>
      <c r="C655" s="56" t="s">
        <v>2627</v>
      </c>
      <c r="D655" s="39">
        <v>146</v>
      </c>
      <c r="E655" s="56" t="s">
        <v>2628</v>
      </c>
      <c r="F655" s="55" t="s">
        <v>2629</v>
      </c>
      <c r="G655" s="5">
        <f>IF(Estimation!$B$18="",0,IF(ISNUMBER(SEARCH(LOWER(Estimation!$B$18),F655)),1,0))</f>
        <v>0</v>
      </c>
      <c r="H655" s="5" t="str">
        <f>IF(G655=1,SUM($G$4:G655),"")</f>
        <v/>
      </c>
    </row>
    <row r="656" spans="1:8" x14ac:dyDescent="0.35">
      <c r="A656" s="56" t="s">
        <v>1681</v>
      </c>
      <c r="B656" s="56" t="s">
        <v>2630</v>
      </c>
      <c r="C656" s="56" t="s">
        <v>2631</v>
      </c>
      <c r="D656" s="39">
        <v>154</v>
      </c>
      <c r="E656" s="56" t="s">
        <v>2632</v>
      </c>
      <c r="F656" s="55" t="s">
        <v>2633</v>
      </c>
      <c r="G656" s="5">
        <f>IF(Estimation!$B$18="",0,IF(ISNUMBER(SEARCH(LOWER(Estimation!$B$18),F656)),1,0))</f>
        <v>0</v>
      </c>
      <c r="H656" s="5" t="str">
        <f>IF(G656=1,SUM($G$4:G656),"")</f>
        <v/>
      </c>
    </row>
    <row r="657" spans="1:8" x14ac:dyDescent="0.35">
      <c r="A657" s="56" t="s">
        <v>1681</v>
      </c>
      <c r="B657" s="56" t="s">
        <v>2634</v>
      </c>
      <c r="C657" s="56" t="s">
        <v>2635</v>
      </c>
      <c r="D657" s="39">
        <v>148</v>
      </c>
      <c r="E657" s="56" t="s">
        <v>2636</v>
      </c>
      <c r="F657" s="55" t="s">
        <v>2637</v>
      </c>
      <c r="G657" s="5">
        <f>IF(Estimation!$B$18="",0,IF(ISNUMBER(SEARCH(LOWER(Estimation!$B$18),F657)),1,0))</f>
        <v>0</v>
      </c>
      <c r="H657" s="5" t="str">
        <f>IF(G657=1,SUM($G$4:G657),"")</f>
        <v/>
      </c>
    </row>
    <row r="658" spans="1:8" x14ac:dyDescent="0.35">
      <c r="A658" s="56" t="s">
        <v>1681</v>
      </c>
      <c r="B658" s="56" t="s">
        <v>2638</v>
      </c>
      <c r="C658" s="56" t="s">
        <v>2639</v>
      </c>
      <c r="D658" s="39">
        <v>162</v>
      </c>
      <c r="E658" s="56" t="s">
        <v>2640</v>
      </c>
      <c r="F658" s="55" t="s">
        <v>2641</v>
      </c>
      <c r="G658" s="5">
        <f>IF(Estimation!$B$18="",0,IF(ISNUMBER(SEARCH(LOWER(Estimation!$B$18),F658)),1,0))</f>
        <v>0</v>
      </c>
      <c r="H658" s="5" t="str">
        <f>IF(G658=1,SUM($G$4:G658),"")</f>
        <v/>
      </c>
    </row>
    <row r="659" spans="1:8" x14ac:dyDescent="0.35">
      <c r="A659" s="56" t="s">
        <v>1681</v>
      </c>
      <c r="B659" s="56" t="s">
        <v>2642</v>
      </c>
      <c r="C659" s="56" t="s">
        <v>2643</v>
      </c>
      <c r="D659" s="39">
        <v>152</v>
      </c>
      <c r="E659" s="56" t="s">
        <v>2644</v>
      </c>
      <c r="F659" s="55" t="s">
        <v>2645</v>
      </c>
      <c r="G659" s="5">
        <f>IF(Estimation!$B$18="",0,IF(ISNUMBER(SEARCH(LOWER(Estimation!$B$18),F659)),1,0))</f>
        <v>0</v>
      </c>
      <c r="H659" s="5" t="str">
        <f>IF(G659=1,SUM($G$4:G659),"")</f>
        <v/>
      </c>
    </row>
    <row r="660" spans="1:8" x14ac:dyDescent="0.35">
      <c r="A660" s="56" t="s">
        <v>1681</v>
      </c>
      <c r="B660" s="56" t="s">
        <v>2646</v>
      </c>
      <c r="C660" s="56" t="s">
        <v>2647</v>
      </c>
      <c r="D660" s="39">
        <v>218</v>
      </c>
      <c r="E660" s="56" t="s">
        <v>2648</v>
      </c>
      <c r="F660" s="55" t="s">
        <v>2649</v>
      </c>
      <c r="G660" s="5">
        <f>IF(Estimation!$B$18="",0,IF(ISNUMBER(SEARCH(LOWER(Estimation!$B$18),F660)),1,0))</f>
        <v>0</v>
      </c>
      <c r="H660" s="5" t="str">
        <f>IF(G660=1,SUM($G$4:G660),"")</f>
        <v/>
      </c>
    </row>
    <row r="661" spans="1:8" x14ac:dyDescent="0.35">
      <c r="A661" s="56" t="s">
        <v>1681</v>
      </c>
      <c r="B661" s="56" t="s">
        <v>2650</v>
      </c>
      <c r="C661" s="56" t="s">
        <v>2651</v>
      </c>
      <c r="D661" s="39">
        <v>247</v>
      </c>
      <c r="E661" s="56" t="s">
        <v>2652</v>
      </c>
      <c r="F661" s="55" t="s">
        <v>2653</v>
      </c>
      <c r="G661" s="5">
        <f>IF(Estimation!$B$18="",0,IF(ISNUMBER(SEARCH(LOWER(Estimation!$B$18),F661)),1,0))</f>
        <v>0</v>
      </c>
      <c r="H661" s="5" t="str">
        <f>IF(G661=1,SUM($G$4:G661),"")</f>
        <v/>
      </c>
    </row>
    <row r="662" spans="1:8" x14ac:dyDescent="0.35">
      <c r="A662" s="56" t="s">
        <v>1681</v>
      </c>
      <c r="B662" s="56" t="s">
        <v>2654</v>
      </c>
      <c r="C662" s="56" t="s">
        <v>2655</v>
      </c>
      <c r="D662" s="39">
        <v>212</v>
      </c>
      <c r="E662" s="56" t="s">
        <v>2656</v>
      </c>
      <c r="F662" s="55" t="s">
        <v>2657</v>
      </c>
      <c r="G662" s="5">
        <f>IF(Estimation!$B$18="",0,IF(ISNUMBER(SEARCH(LOWER(Estimation!$B$18),F662)),1,0))</f>
        <v>0</v>
      </c>
      <c r="H662" s="5" t="str">
        <f>IF(G662=1,SUM($G$4:G662),"")</f>
        <v/>
      </c>
    </row>
    <row r="663" spans="1:8" x14ac:dyDescent="0.35">
      <c r="A663" s="56" t="s">
        <v>1681</v>
      </c>
      <c r="B663" s="56" t="s">
        <v>2658</v>
      </c>
      <c r="C663" s="56" t="s">
        <v>2659</v>
      </c>
      <c r="D663" s="39">
        <v>245</v>
      </c>
      <c r="E663" s="56" t="s">
        <v>2660</v>
      </c>
      <c r="F663" s="55" t="s">
        <v>2661</v>
      </c>
      <c r="G663" s="5">
        <f>IF(Estimation!$B$18="",0,IF(ISNUMBER(SEARCH(LOWER(Estimation!$B$18),F663)),1,0))</f>
        <v>0</v>
      </c>
      <c r="H663" s="5" t="str">
        <f>IF(G663=1,SUM($G$4:G663),"")</f>
        <v/>
      </c>
    </row>
    <row r="664" spans="1:8" x14ac:dyDescent="0.35">
      <c r="A664" s="56" t="s">
        <v>1681</v>
      </c>
      <c r="B664" s="56" t="s">
        <v>2662</v>
      </c>
      <c r="C664" s="56" t="s">
        <v>2663</v>
      </c>
      <c r="D664" s="39">
        <v>263</v>
      </c>
      <c r="E664" s="56" t="s">
        <v>2664</v>
      </c>
      <c r="F664" s="55" t="s">
        <v>2665</v>
      </c>
      <c r="G664" s="5">
        <f>IF(Estimation!$B$18="",0,IF(ISNUMBER(SEARCH(LOWER(Estimation!$B$18),F664)),1,0))</f>
        <v>0</v>
      </c>
      <c r="H664" s="5" t="str">
        <f>IF(G664=1,SUM($G$4:G664),"")</f>
        <v/>
      </c>
    </row>
    <row r="665" spans="1:8" x14ac:dyDescent="0.35">
      <c r="A665" s="56" t="s">
        <v>1681</v>
      </c>
      <c r="B665" s="56" t="s">
        <v>2666</v>
      </c>
      <c r="C665" s="56" t="s">
        <v>2667</v>
      </c>
      <c r="D665" s="39">
        <v>303</v>
      </c>
      <c r="E665" s="56" t="s">
        <v>2668</v>
      </c>
      <c r="F665" s="55" t="s">
        <v>2669</v>
      </c>
      <c r="G665" s="5">
        <f>IF(Estimation!$B$18="",0,IF(ISNUMBER(SEARCH(LOWER(Estimation!$B$18),F665)),1,0))</f>
        <v>0</v>
      </c>
      <c r="H665" s="5" t="str">
        <f>IF(G665=1,SUM($G$4:G665),"")</f>
        <v/>
      </c>
    </row>
    <row r="666" spans="1:8" x14ac:dyDescent="0.35">
      <c r="A666" s="56" t="s">
        <v>1681</v>
      </c>
      <c r="B666" s="56" t="s">
        <v>2670</v>
      </c>
      <c r="C666" s="56" t="s">
        <v>2671</v>
      </c>
      <c r="D666" s="39">
        <v>491</v>
      </c>
      <c r="E666" s="56" t="s">
        <v>2672</v>
      </c>
      <c r="F666" s="55" t="s">
        <v>2673</v>
      </c>
      <c r="G666" s="5">
        <f>IF(Estimation!$B$18="",0,IF(ISNUMBER(SEARCH(LOWER(Estimation!$B$18),F666)),1,0))</f>
        <v>0</v>
      </c>
      <c r="H666" s="5" t="str">
        <f>IF(G666=1,SUM($G$4:G666),"")</f>
        <v/>
      </c>
    </row>
    <row r="667" spans="1:8" x14ac:dyDescent="0.35">
      <c r="A667" s="56" t="s">
        <v>1681</v>
      </c>
      <c r="B667" s="56" t="s">
        <v>2674</v>
      </c>
      <c r="C667" s="56" t="s">
        <v>2675</v>
      </c>
      <c r="D667" s="39">
        <v>33</v>
      </c>
      <c r="E667" s="56" t="s">
        <v>2676</v>
      </c>
      <c r="F667" s="55" t="s">
        <v>2677</v>
      </c>
      <c r="G667" s="5">
        <f>IF(Estimation!$B$18="",0,IF(ISNUMBER(SEARCH(LOWER(Estimation!$B$18),F667)),1,0))</f>
        <v>0</v>
      </c>
      <c r="H667" s="5" t="str">
        <f>IF(G667=1,SUM($G$4:G667),"")</f>
        <v/>
      </c>
    </row>
    <row r="668" spans="1:8" x14ac:dyDescent="0.35">
      <c r="A668" s="56" t="s">
        <v>1681</v>
      </c>
      <c r="B668" s="56" t="s">
        <v>2678</v>
      </c>
      <c r="C668" s="56" t="s">
        <v>2679</v>
      </c>
      <c r="D668" s="39">
        <v>67</v>
      </c>
      <c r="E668" s="56" t="s">
        <v>2680</v>
      </c>
      <c r="F668" s="55" t="s">
        <v>2681</v>
      </c>
      <c r="G668" s="5">
        <f>IF(Estimation!$B$18="",0,IF(ISNUMBER(SEARCH(LOWER(Estimation!$B$18),F668)),1,0))</f>
        <v>0</v>
      </c>
      <c r="H668" s="5" t="str">
        <f>IF(G668=1,SUM($G$4:G668),"")</f>
        <v/>
      </c>
    </row>
    <row r="669" spans="1:8" x14ac:dyDescent="0.35">
      <c r="A669" s="56" t="s">
        <v>1681</v>
      </c>
      <c r="B669" s="56" t="s">
        <v>2682</v>
      </c>
      <c r="C669" s="56" t="s">
        <v>2683</v>
      </c>
      <c r="D669" s="39">
        <v>67</v>
      </c>
      <c r="E669" s="56" t="s">
        <v>2684</v>
      </c>
      <c r="F669" s="55" t="s">
        <v>2685</v>
      </c>
      <c r="G669" s="5">
        <f>IF(Estimation!$B$18="",0,IF(ISNUMBER(SEARCH(LOWER(Estimation!$B$18),F669)),1,0))</f>
        <v>0</v>
      </c>
      <c r="H669" s="5" t="str">
        <f>IF(G669=1,SUM($G$4:G669),"")</f>
        <v/>
      </c>
    </row>
    <row r="670" spans="1:8" x14ac:dyDescent="0.35">
      <c r="A670" s="56" t="s">
        <v>1681</v>
      </c>
      <c r="B670" s="56" t="s">
        <v>2686</v>
      </c>
      <c r="C670" s="56" t="s">
        <v>2687</v>
      </c>
      <c r="D670" s="39">
        <v>28</v>
      </c>
      <c r="E670" s="56" t="s">
        <v>2688</v>
      </c>
      <c r="F670" s="55" t="s">
        <v>2689</v>
      </c>
      <c r="G670" s="5">
        <f>IF(Estimation!$B$18="",0,IF(ISNUMBER(SEARCH(LOWER(Estimation!$B$18),F670)),1,0))</f>
        <v>0</v>
      </c>
      <c r="H670" s="5" t="str">
        <f>IF(G670=1,SUM($G$4:G670),"")</f>
        <v/>
      </c>
    </row>
    <row r="671" spans="1:8" x14ac:dyDescent="0.35">
      <c r="A671" s="56" t="s">
        <v>1681</v>
      </c>
      <c r="B671" s="56" t="s">
        <v>2690</v>
      </c>
      <c r="C671" s="56" t="s">
        <v>2691</v>
      </c>
      <c r="D671" s="39">
        <v>39</v>
      </c>
      <c r="E671" s="56" t="s">
        <v>2692</v>
      </c>
      <c r="F671" s="55" t="s">
        <v>2693</v>
      </c>
      <c r="G671" s="5">
        <f>IF(Estimation!$B$18="",0,IF(ISNUMBER(SEARCH(LOWER(Estimation!$B$18),F671)),1,0))</f>
        <v>0</v>
      </c>
      <c r="H671" s="5" t="str">
        <f>IF(G671=1,SUM($G$4:G671),"")</f>
        <v/>
      </c>
    </row>
    <row r="672" spans="1:8" x14ac:dyDescent="0.35">
      <c r="A672" s="56" t="s">
        <v>1681</v>
      </c>
      <c r="B672" s="56" t="s">
        <v>2694</v>
      </c>
      <c r="C672" s="56" t="s">
        <v>2695</v>
      </c>
      <c r="D672" s="39">
        <v>33</v>
      </c>
      <c r="E672" s="56" t="s">
        <v>2696</v>
      </c>
      <c r="F672" s="55" t="s">
        <v>2697</v>
      </c>
      <c r="G672" s="5">
        <f>IF(Estimation!$B$18="",0,IF(ISNUMBER(SEARCH(LOWER(Estimation!$B$18),F672)),1,0))</f>
        <v>0</v>
      </c>
      <c r="H672" s="5" t="str">
        <f>IF(G672=1,SUM($G$4:G672),"")</f>
        <v/>
      </c>
    </row>
    <row r="673" spans="1:8" x14ac:dyDescent="0.35">
      <c r="A673" s="56" t="s">
        <v>1681</v>
      </c>
      <c r="B673" s="56" t="s">
        <v>2698</v>
      </c>
      <c r="C673" s="56" t="s">
        <v>2699</v>
      </c>
      <c r="D673" s="39">
        <v>93</v>
      </c>
      <c r="E673" s="56" t="s">
        <v>2700</v>
      </c>
      <c r="F673" s="55" t="s">
        <v>2701</v>
      </c>
      <c r="G673" s="5">
        <f>IF(Estimation!$B$18="",0,IF(ISNUMBER(SEARCH(LOWER(Estimation!$B$18),F673)),1,0))</f>
        <v>0</v>
      </c>
      <c r="H673" s="5" t="str">
        <f>IF(G673=1,SUM($G$4:G673),"")</f>
        <v/>
      </c>
    </row>
    <row r="674" spans="1:8" x14ac:dyDescent="0.35">
      <c r="A674" s="56" t="s">
        <v>1681</v>
      </c>
      <c r="B674" s="56" t="s">
        <v>2702</v>
      </c>
      <c r="C674" s="56" t="s">
        <v>2703</v>
      </c>
      <c r="D674" s="39">
        <v>107</v>
      </c>
      <c r="E674" s="56" t="s">
        <v>2704</v>
      </c>
      <c r="F674" s="55" t="s">
        <v>2705</v>
      </c>
      <c r="G674" s="5">
        <f>IF(Estimation!$B$18="",0,IF(ISNUMBER(SEARCH(LOWER(Estimation!$B$18),F674)),1,0))</f>
        <v>0</v>
      </c>
      <c r="H674" s="5" t="str">
        <f>IF(G674=1,SUM($G$4:G674),"")</f>
        <v/>
      </c>
    </row>
    <row r="675" spans="1:8" x14ac:dyDescent="0.35">
      <c r="A675" s="56" t="s">
        <v>1681</v>
      </c>
      <c r="B675" s="56" t="s">
        <v>2706</v>
      </c>
      <c r="C675" s="56" t="s">
        <v>2707</v>
      </c>
      <c r="D675" s="39">
        <v>158</v>
      </c>
      <c r="E675" s="56" t="s">
        <v>2708</v>
      </c>
      <c r="F675" s="55" t="s">
        <v>2709</v>
      </c>
      <c r="G675" s="5">
        <f>IF(Estimation!$B$18="",0,IF(ISNUMBER(SEARCH(LOWER(Estimation!$B$18),F675)),1,0))</f>
        <v>0</v>
      </c>
      <c r="H675" s="5" t="str">
        <f>IF(G675=1,SUM($G$4:G675),"")</f>
        <v/>
      </c>
    </row>
    <row r="676" spans="1:8" x14ac:dyDescent="0.35">
      <c r="A676" s="56" t="s">
        <v>1681</v>
      </c>
      <c r="B676" s="56" t="s">
        <v>2710</v>
      </c>
      <c r="C676" s="56" t="s">
        <v>2711</v>
      </c>
      <c r="D676" s="39">
        <v>206</v>
      </c>
      <c r="E676" s="56" t="s">
        <v>2712</v>
      </c>
      <c r="F676" s="55" t="s">
        <v>2713</v>
      </c>
      <c r="G676" s="5">
        <f>IF(Estimation!$B$18="",0,IF(ISNUMBER(SEARCH(LOWER(Estimation!$B$18),F676)),1,0))</f>
        <v>0</v>
      </c>
      <c r="H676" s="5" t="str">
        <f>IF(G676=1,SUM($G$4:G676),"")</f>
        <v/>
      </c>
    </row>
    <row r="677" spans="1:8" x14ac:dyDescent="0.35">
      <c r="A677" s="56" t="s">
        <v>1681</v>
      </c>
      <c r="B677" s="56" t="s">
        <v>2714</v>
      </c>
      <c r="C677" s="56" t="s">
        <v>2715</v>
      </c>
      <c r="D677" s="39">
        <v>290</v>
      </c>
      <c r="E677" s="56" t="s">
        <v>2716</v>
      </c>
      <c r="F677" s="55" t="s">
        <v>2717</v>
      </c>
      <c r="G677" s="5">
        <f>IF(Estimation!$B$18="",0,IF(ISNUMBER(SEARCH(LOWER(Estimation!$B$18),F677)),1,0))</f>
        <v>0</v>
      </c>
      <c r="H677" s="5" t="str">
        <f>IF(G677=1,SUM($G$4:G677),"")</f>
        <v/>
      </c>
    </row>
    <row r="678" spans="1:8" x14ac:dyDescent="0.35">
      <c r="A678" s="56" t="s">
        <v>1681</v>
      </c>
      <c r="B678" s="56" t="s">
        <v>2718</v>
      </c>
      <c r="C678" s="56" t="s">
        <v>2719</v>
      </c>
      <c r="D678" s="39">
        <v>422</v>
      </c>
      <c r="E678" s="56" t="s">
        <v>2720</v>
      </c>
      <c r="F678" s="55" t="s">
        <v>2721</v>
      </c>
      <c r="G678" s="5">
        <f>IF(Estimation!$B$18="",0,IF(ISNUMBER(SEARCH(LOWER(Estimation!$B$18),F678)),1,0))</f>
        <v>0</v>
      </c>
      <c r="H678" s="5" t="str">
        <f>IF(G678=1,SUM($G$4:G678),"")</f>
        <v/>
      </c>
    </row>
    <row r="679" spans="1:8" x14ac:dyDescent="0.35">
      <c r="A679" s="56" t="s">
        <v>1681</v>
      </c>
      <c r="B679" s="56" t="s">
        <v>2722</v>
      </c>
      <c r="C679" s="56" t="s">
        <v>2723</v>
      </c>
      <c r="D679" s="39">
        <v>375</v>
      </c>
      <c r="E679" s="56" t="s">
        <v>2724</v>
      </c>
      <c r="F679" s="55" t="s">
        <v>2725</v>
      </c>
      <c r="G679" s="5">
        <f>IF(Estimation!$B$18="",0,IF(ISNUMBER(SEARCH(LOWER(Estimation!$B$18),F679)),1,0))</f>
        <v>0</v>
      </c>
      <c r="H679" s="5" t="str">
        <f>IF(G679=1,SUM($G$4:G679),"")</f>
        <v/>
      </c>
    </row>
    <row r="680" spans="1:8" x14ac:dyDescent="0.35">
      <c r="A680" s="56" t="s">
        <v>1681</v>
      </c>
      <c r="B680" s="56" t="s">
        <v>2726</v>
      </c>
      <c r="C680" s="56" t="s">
        <v>2727</v>
      </c>
      <c r="D680" s="39">
        <v>400</v>
      </c>
      <c r="E680" s="56" t="s">
        <v>2728</v>
      </c>
      <c r="F680" s="55" t="s">
        <v>2729</v>
      </c>
      <c r="G680" s="5">
        <f>IF(Estimation!$B$18="",0,IF(ISNUMBER(SEARCH(LOWER(Estimation!$B$18),F680)),1,0))</f>
        <v>0</v>
      </c>
      <c r="H680" s="5" t="str">
        <f>IF(G680=1,SUM($G$4:G680),"")</f>
        <v/>
      </c>
    </row>
    <row r="681" spans="1:8" x14ac:dyDescent="0.35">
      <c r="A681" s="56" t="s">
        <v>1681</v>
      </c>
      <c r="B681" s="56" t="s">
        <v>2730</v>
      </c>
      <c r="C681" s="56" t="s">
        <v>2731</v>
      </c>
      <c r="D681" s="39">
        <v>576</v>
      </c>
      <c r="E681" s="56" t="s">
        <v>2732</v>
      </c>
      <c r="F681" s="55" t="s">
        <v>2733</v>
      </c>
      <c r="G681" s="5">
        <f>IF(Estimation!$B$18="",0,IF(ISNUMBER(SEARCH(LOWER(Estimation!$B$18),F681)),1,0))</f>
        <v>0</v>
      </c>
      <c r="H681" s="5" t="str">
        <f>IF(G681=1,SUM($G$4:G681),"")</f>
        <v/>
      </c>
    </row>
    <row r="682" spans="1:8" x14ac:dyDescent="0.35">
      <c r="A682" s="56" t="s">
        <v>1681</v>
      </c>
      <c r="B682" s="56" t="s">
        <v>2734</v>
      </c>
      <c r="C682" s="56" t="s">
        <v>2735</v>
      </c>
      <c r="D682" s="39">
        <v>670</v>
      </c>
      <c r="E682" s="56" t="s">
        <v>2736</v>
      </c>
      <c r="F682" s="55" t="s">
        <v>2737</v>
      </c>
      <c r="G682" s="5">
        <f>IF(Estimation!$B$18="",0,IF(ISNUMBER(SEARCH(LOWER(Estimation!$B$18),F682)),1,0))</f>
        <v>0</v>
      </c>
      <c r="H682" s="5" t="str">
        <f>IF(G682=1,SUM($G$4:G682),"")</f>
        <v/>
      </c>
    </row>
    <row r="683" spans="1:8" x14ac:dyDescent="0.35">
      <c r="A683" s="56" t="s">
        <v>1681</v>
      </c>
      <c r="B683" s="56" t="s">
        <v>2738</v>
      </c>
      <c r="C683" s="56" t="s">
        <v>2739</v>
      </c>
      <c r="D683" s="39">
        <v>788</v>
      </c>
      <c r="E683" s="56" t="s">
        <v>2740</v>
      </c>
      <c r="F683" s="55" t="s">
        <v>2741</v>
      </c>
      <c r="G683" s="5">
        <f>IF(Estimation!$B$18="",0,IF(ISNUMBER(SEARCH(LOWER(Estimation!$B$18),F683)),1,0))</f>
        <v>0</v>
      </c>
      <c r="H683" s="5" t="str">
        <f>IF(G683=1,SUM($G$4:G683),"")</f>
        <v/>
      </c>
    </row>
    <row r="684" spans="1:8" x14ac:dyDescent="0.35">
      <c r="A684" s="56" t="s">
        <v>1681</v>
      </c>
      <c r="B684" s="56" t="s">
        <v>2742</v>
      </c>
      <c r="C684" s="56" t="s">
        <v>2743</v>
      </c>
      <c r="D684" s="39">
        <v>1284</v>
      </c>
      <c r="E684" s="56" t="s">
        <v>2744</v>
      </c>
      <c r="F684" s="55" t="s">
        <v>2745</v>
      </c>
      <c r="G684" s="5">
        <f>IF(Estimation!$B$18="",0,IF(ISNUMBER(SEARCH(LOWER(Estimation!$B$18),F684)),1,0))</f>
        <v>0</v>
      </c>
      <c r="H684" s="5" t="str">
        <f>IF(G684=1,SUM($G$4:G684),"")</f>
        <v/>
      </c>
    </row>
    <row r="685" spans="1:8" x14ac:dyDescent="0.35">
      <c r="A685" s="56" t="s">
        <v>1681</v>
      </c>
      <c r="B685" s="56" t="s">
        <v>2746</v>
      </c>
      <c r="C685" s="56" t="s">
        <v>2747</v>
      </c>
      <c r="D685" s="39">
        <v>1308</v>
      </c>
      <c r="E685" s="56" t="s">
        <v>2748</v>
      </c>
      <c r="F685" s="55" t="s">
        <v>2749</v>
      </c>
      <c r="G685" s="5">
        <f>IF(Estimation!$B$18="",0,IF(ISNUMBER(SEARCH(LOWER(Estimation!$B$18),F685)),1,0))</f>
        <v>0</v>
      </c>
      <c r="H685" s="5" t="str">
        <f>IF(G685=1,SUM($G$4:G685),"")</f>
        <v/>
      </c>
    </row>
    <row r="686" spans="1:8" x14ac:dyDescent="0.35">
      <c r="A686" s="56" t="s">
        <v>1681</v>
      </c>
      <c r="B686" s="56" t="s">
        <v>2750</v>
      </c>
      <c r="C686" s="56" t="s">
        <v>2751</v>
      </c>
      <c r="D686" s="39">
        <v>1357</v>
      </c>
      <c r="E686" s="56" t="s">
        <v>2752</v>
      </c>
      <c r="F686" s="55" t="s">
        <v>2753</v>
      </c>
      <c r="G686" s="5">
        <f>IF(Estimation!$B$18="",0,IF(ISNUMBER(SEARCH(LOWER(Estimation!$B$18),F686)),1,0))</f>
        <v>0</v>
      </c>
      <c r="H686" s="5" t="str">
        <f>IF(G686=1,SUM($G$4:G686),"")</f>
        <v/>
      </c>
    </row>
    <row r="687" spans="1:8" x14ac:dyDescent="0.35">
      <c r="A687" s="56" t="s">
        <v>1681</v>
      </c>
      <c r="B687" s="56" t="s">
        <v>2754</v>
      </c>
      <c r="C687" s="56" t="s">
        <v>2755</v>
      </c>
      <c r="D687" s="39">
        <v>320</v>
      </c>
      <c r="E687" s="56" t="s">
        <v>2756</v>
      </c>
      <c r="F687" s="55" t="s">
        <v>2757</v>
      </c>
      <c r="G687" s="5">
        <f>IF(Estimation!$B$18="",0,IF(ISNUMBER(SEARCH(LOWER(Estimation!$B$18),F687)),1,0))</f>
        <v>0</v>
      </c>
      <c r="H687" s="5" t="str">
        <f>IF(G687=1,SUM($G$4:G687),"")</f>
        <v/>
      </c>
    </row>
    <row r="688" spans="1:8" x14ac:dyDescent="0.35">
      <c r="A688" s="56" t="s">
        <v>1681</v>
      </c>
      <c r="B688" s="56" t="s">
        <v>2758</v>
      </c>
      <c r="C688" s="56" t="s">
        <v>2759</v>
      </c>
      <c r="D688" s="39">
        <v>320</v>
      </c>
      <c r="E688" s="56" t="s">
        <v>2760</v>
      </c>
      <c r="F688" s="55" t="s">
        <v>2761</v>
      </c>
      <c r="G688" s="5">
        <f>IF(Estimation!$B$18="",0,IF(ISNUMBER(SEARCH(LOWER(Estimation!$B$18),F688)),1,0))</f>
        <v>0</v>
      </c>
      <c r="H688" s="5" t="str">
        <f>IF(G688=1,SUM($G$4:G688),"")</f>
        <v/>
      </c>
    </row>
    <row r="689" spans="1:8" x14ac:dyDescent="0.35">
      <c r="A689" s="56" t="s">
        <v>1681</v>
      </c>
      <c r="B689" s="56" t="s">
        <v>2762</v>
      </c>
      <c r="C689" s="56" t="s">
        <v>2763</v>
      </c>
      <c r="D689" s="39">
        <v>670</v>
      </c>
      <c r="E689" s="56" t="s">
        <v>2764</v>
      </c>
      <c r="F689" s="55" t="s">
        <v>2765</v>
      </c>
      <c r="G689" s="5">
        <f>IF(Estimation!$B$18="",0,IF(ISNUMBER(SEARCH(LOWER(Estimation!$B$18),F689)),1,0))</f>
        <v>0</v>
      </c>
      <c r="H689" s="5" t="str">
        <f>IF(G689=1,SUM($G$4:G689),"")</f>
        <v/>
      </c>
    </row>
    <row r="690" spans="1:8" x14ac:dyDescent="0.35">
      <c r="A690" s="56" t="s">
        <v>1681</v>
      </c>
      <c r="B690" s="56" t="s">
        <v>2766</v>
      </c>
      <c r="C690" s="56" t="s">
        <v>2767</v>
      </c>
      <c r="D690" s="39">
        <v>760</v>
      </c>
      <c r="E690" s="56" t="s">
        <v>2768</v>
      </c>
      <c r="F690" s="55" t="s">
        <v>2769</v>
      </c>
      <c r="G690" s="5">
        <f>IF(Estimation!$B$18="",0,IF(ISNUMBER(SEARCH(LOWER(Estimation!$B$18),F690)),1,0))</f>
        <v>0</v>
      </c>
      <c r="H690" s="5" t="str">
        <f>IF(G690=1,SUM($G$4:G690),"")</f>
        <v/>
      </c>
    </row>
    <row r="691" spans="1:8" x14ac:dyDescent="0.35">
      <c r="A691" s="56" t="s">
        <v>1681</v>
      </c>
      <c r="B691" s="56" t="s">
        <v>2770</v>
      </c>
      <c r="C691" s="56" t="s">
        <v>2771</v>
      </c>
      <c r="D691" s="39">
        <v>823</v>
      </c>
      <c r="E691" s="56" t="s">
        <v>2772</v>
      </c>
      <c r="F691" s="55" t="s">
        <v>2773</v>
      </c>
      <c r="G691" s="5">
        <f>IF(Estimation!$B$18="",0,IF(ISNUMBER(SEARCH(LOWER(Estimation!$B$18),F691)),1,0))</f>
        <v>0</v>
      </c>
      <c r="H691" s="5" t="str">
        <f>IF(G691=1,SUM($G$4:G691),"")</f>
        <v/>
      </c>
    </row>
    <row r="692" spans="1:8" x14ac:dyDescent="0.35">
      <c r="A692" s="56" t="s">
        <v>1681</v>
      </c>
      <c r="B692" s="56" t="s">
        <v>2774</v>
      </c>
      <c r="C692" s="56" t="s">
        <v>2775</v>
      </c>
      <c r="D692" s="39">
        <v>1333</v>
      </c>
      <c r="E692" s="56" t="s">
        <v>2776</v>
      </c>
      <c r="F692" s="55" t="s">
        <v>2777</v>
      </c>
      <c r="G692" s="5">
        <f>IF(Estimation!$B$18="",0,IF(ISNUMBER(SEARCH(LOWER(Estimation!$B$18),F692)),1,0))</f>
        <v>0</v>
      </c>
      <c r="H692" s="5" t="str">
        <f>IF(G692=1,SUM($G$4:G692),"")</f>
        <v/>
      </c>
    </row>
    <row r="693" spans="1:8" x14ac:dyDescent="0.35">
      <c r="A693" s="56" t="s">
        <v>1681</v>
      </c>
      <c r="B693" s="56" t="s">
        <v>2778</v>
      </c>
      <c r="C693" s="56" t="s">
        <v>2779</v>
      </c>
      <c r="D693" s="39">
        <v>1100</v>
      </c>
      <c r="E693" s="56" t="s">
        <v>2780</v>
      </c>
      <c r="F693" s="55" t="s">
        <v>2781</v>
      </c>
      <c r="G693" s="5">
        <f>IF(Estimation!$B$18="",0,IF(ISNUMBER(SEARCH(LOWER(Estimation!$B$18),F693)),1,0))</f>
        <v>0</v>
      </c>
      <c r="H693" s="5" t="str">
        <f>IF(G693=1,SUM($G$4:G693),"")</f>
        <v/>
      </c>
    </row>
    <row r="694" spans="1:8" x14ac:dyDescent="0.35">
      <c r="A694" s="56" t="s">
        <v>1681</v>
      </c>
      <c r="B694" s="56" t="s">
        <v>2782</v>
      </c>
      <c r="C694" s="56" t="s">
        <v>2783</v>
      </c>
      <c r="D694" s="39">
        <v>1653</v>
      </c>
      <c r="E694" s="56" t="s">
        <v>2784</v>
      </c>
      <c r="F694" s="55" t="s">
        <v>2785</v>
      </c>
      <c r="G694" s="5">
        <f>IF(Estimation!$B$18="",0,IF(ISNUMBER(SEARCH(LOWER(Estimation!$B$18),F694)),1,0))</f>
        <v>0</v>
      </c>
      <c r="H694" s="5" t="str">
        <f>IF(G694=1,SUM($G$4:G694),"")</f>
        <v/>
      </c>
    </row>
    <row r="695" spans="1:8" x14ac:dyDescent="0.35">
      <c r="A695" s="56" t="s">
        <v>1681</v>
      </c>
      <c r="B695" s="56" t="s">
        <v>2786</v>
      </c>
      <c r="C695" s="56" t="s">
        <v>2787</v>
      </c>
      <c r="D695" s="39">
        <v>452</v>
      </c>
      <c r="E695" s="56" t="s">
        <v>2788</v>
      </c>
      <c r="F695" s="55" t="s">
        <v>2789</v>
      </c>
      <c r="G695" s="5">
        <f>IF(Estimation!$B$18="",0,IF(ISNUMBER(SEARCH(LOWER(Estimation!$B$18),F695)),1,0))</f>
        <v>0</v>
      </c>
      <c r="H695" s="5" t="str">
        <f>IF(G695=1,SUM($G$4:G695),"")</f>
        <v/>
      </c>
    </row>
    <row r="696" spans="1:8" x14ac:dyDescent="0.35">
      <c r="A696" s="56" t="s">
        <v>1681</v>
      </c>
      <c r="B696" s="56" t="s">
        <v>2790</v>
      </c>
      <c r="C696" s="56" t="s">
        <v>2791</v>
      </c>
      <c r="D696" s="39">
        <v>583</v>
      </c>
      <c r="E696" s="56" t="s">
        <v>2792</v>
      </c>
      <c r="F696" s="55" t="s">
        <v>2793</v>
      </c>
      <c r="G696" s="5">
        <f>IF(Estimation!$B$18="",0,IF(ISNUMBER(SEARCH(LOWER(Estimation!$B$18),F696)),1,0))</f>
        <v>0</v>
      </c>
      <c r="H696" s="5" t="str">
        <f>IF(G696=1,SUM($G$4:G696),"")</f>
        <v/>
      </c>
    </row>
    <row r="697" spans="1:8" x14ac:dyDescent="0.35">
      <c r="A697" s="56" t="s">
        <v>1681</v>
      </c>
      <c r="B697" s="56" t="s">
        <v>2794</v>
      </c>
      <c r="C697" s="56" t="s">
        <v>2795</v>
      </c>
      <c r="D697" s="39">
        <v>1003</v>
      </c>
      <c r="E697" s="56" t="s">
        <v>2796</v>
      </c>
      <c r="F697" s="55" t="s">
        <v>2797</v>
      </c>
      <c r="G697" s="5">
        <f>IF(Estimation!$B$18="",0,IF(ISNUMBER(SEARCH(LOWER(Estimation!$B$18),F697)),1,0))</f>
        <v>0</v>
      </c>
      <c r="H697" s="5" t="str">
        <f>IF(G697=1,SUM($G$4:G697),"")</f>
        <v/>
      </c>
    </row>
    <row r="698" spans="1:8" x14ac:dyDescent="0.35">
      <c r="A698" s="56" t="s">
        <v>1681</v>
      </c>
      <c r="B698" s="56" t="s">
        <v>2798</v>
      </c>
      <c r="C698" s="56" t="s">
        <v>2799</v>
      </c>
      <c r="D698" s="39">
        <v>686</v>
      </c>
      <c r="E698" s="56" t="s">
        <v>2800</v>
      </c>
      <c r="F698" s="55" t="s">
        <v>2801</v>
      </c>
      <c r="G698" s="5">
        <f>IF(Estimation!$B$18="",0,IF(ISNUMBER(SEARCH(LOWER(Estimation!$B$18),F698)),1,0))</f>
        <v>0</v>
      </c>
      <c r="H698" s="5" t="str">
        <f>IF(G698=1,SUM($G$4:G698),"")</f>
        <v/>
      </c>
    </row>
    <row r="699" spans="1:8" x14ac:dyDescent="0.35">
      <c r="A699" s="56" t="s">
        <v>1681</v>
      </c>
      <c r="B699" s="56" t="s">
        <v>2802</v>
      </c>
      <c r="C699" s="56" t="s">
        <v>2803</v>
      </c>
      <c r="D699" s="39">
        <v>40</v>
      </c>
      <c r="E699" s="56" t="s">
        <v>2804</v>
      </c>
      <c r="F699" s="55" t="s">
        <v>2805</v>
      </c>
      <c r="G699" s="5">
        <f>IF(Estimation!$B$18="",0,IF(ISNUMBER(SEARCH(LOWER(Estimation!$B$18),F699)),1,0))</f>
        <v>0</v>
      </c>
      <c r="H699" s="5" t="str">
        <f>IF(G699=1,SUM($G$4:G699),"")</f>
        <v/>
      </c>
    </row>
    <row r="700" spans="1:8" x14ac:dyDescent="0.35">
      <c r="A700" s="56" t="s">
        <v>1681</v>
      </c>
      <c r="B700" s="56" t="s">
        <v>2806</v>
      </c>
      <c r="C700" s="56" t="s">
        <v>2807</v>
      </c>
      <c r="D700" s="39">
        <v>14</v>
      </c>
      <c r="E700" s="56" t="s">
        <v>2808</v>
      </c>
      <c r="F700" s="55" t="s">
        <v>2809</v>
      </c>
      <c r="G700" s="5">
        <f>IF(Estimation!$B$18="",0,IF(ISNUMBER(SEARCH(LOWER(Estimation!$B$18),F700)),1,0))</f>
        <v>0</v>
      </c>
      <c r="H700" s="5" t="str">
        <f>IF(G700=1,SUM($G$4:G700),"")</f>
        <v/>
      </c>
    </row>
    <row r="701" spans="1:8" x14ac:dyDescent="0.35">
      <c r="A701" s="56" t="s">
        <v>1681</v>
      </c>
      <c r="B701" s="56" t="s">
        <v>2810</v>
      </c>
      <c r="C701" s="56" t="s">
        <v>2811</v>
      </c>
      <c r="D701" s="39">
        <v>20</v>
      </c>
      <c r="E701" s="56" t="s">
        <v>2812</v>
      </c>
      <c r="F701" s="55" t="s">
        <v>2813</v>
      </c>
      <c r="G701" s="5">
        <f>IF(Estimation!$B$18="",0,IF(ISNUMBER(SEARCH(LOWER(Estimation!$B$18),F701)),1,0))</f>
        <v>0</v>
      </c>
      <c r="H701" s="5" t="str">
        <f>IF(G701=1,SUM($G$4:G701),"")</f>
        <v/>
      </c>
    </row>
    <row r="702" spans="1:8" x14ac:dyDescent="0.35">
      <c r="A702" s="56" t="s">
        <v>1681</v>
      </c>
      <c r="B702" s="56" t="s">
        <v>2814</v>
      </c>
      <c r="C702" s="56" t="s">
        <v>2815</v>
      </c>
      <c r="D702" s="39">
        <v>136</v>
      </c>
      <c r="E702" s="56" t="s">
        <v>2816</v>
      </c>
      <c r="F702" s="55" t="s">
        <v>2817</v>
      </c>
      <c r="G702" s="5">
        <f>IF(Estimation!$B$18="",0,IF(ISNUMBER(SEARCH(LOWER(Estimation!$B$18),F702)),1,0))</f>
        <v>0</v>
      </c>
      <c r="H702" s="5" t="str">
        <f>IF(G702=1,SUM($G$4:G702),"")</f>
        <v/>
      </c>
    </row>
    <row r="703" spans="1:8" x14ac:dyDescent="0.35">
      <c r="A703" s="56" t="s">
        <v>1681</v>
      </c>
      <c r="B703" s="56" t="s">
        <v>2818</v>
      </c>
      <c r="C703" s="56" t="s">
        <v>2819</v>
      </c>
      <c r="D703" s="39">
        <v>148</v>
      </c>
      <c r="E703" s="56" t="s">
        <v>2820</v>
      </c>
      <c r="F703" s="55" t="s">
        <v>2821</v>
      </c>
      <c r="G703" s="5">
        <f>IF(Estimation!$B$18="",0,IF(ISNUMBER(SEARCH(LOWER(Estimation!$B$18),F703)),1,0))</f>
        <v>0</v>
      </c>
      <c r="H703" s="5" t="str">
        <f>IF(G703=1,SUM($G$4:G703),"")</f>
        <v/>
      </c>
    </row>
    <row r="704" spans="1:8" x14ac:dyDescent="0.35">
      <c r="A704" s="56" t="s">
        <v>1681</v>
      </c>
      <c r="B704" s="56" t="s">
        <v>2822</v>
      </c>
      <c r="C704" s="56" t="s">
        <v>2823</v>
      </c>
      <c r="D704" s="39">
        <v>182</v>
      </c>
      <c r="E704" s="56" t="s">
        <v>2824</v>
      </c>
      <c r="F704" s="55" t="s">
        <v>2825</v>
      </c>
      <c r="G704" s="5">
        <f>IF(Estimation!$B$18="",0,IF(ISNUMBER(SEARCH(LOWER(Estimation!$B$18),F704)),1,0))</f>
        <v>0</v>
      </c>
      <c r="H704" s="5" t="str">
        <f>IF(G704=1,SUM($G$4:G704),"")</f>
        <v/>
      </c>
    </row>
    <row r="705" spans="1:8" x14ac:dyDescent="0.35">
      <c r="A705" s="56" t="s">
        <v>1681</v>
      </c>
      <c r="B705" s="56" t="s">
        <v>2826</v>
      </c>
      <c r="C705" s="56" t="s">
        <v>2827</v>
      </c>
      <c r="D705" s="39">
        <v>43</v>
      </c>
      <c r="E705" s="56" t="s">
        <v>2828</v>
      </c>
      <c r="F705" s="55" t="s">
        <v>2829</v>
      </c>
      <c r="G705" s="5">
        <f>IF(Estimation!$B$18="",0,IF(ISNUMBER(SEARCH(LOWER(Estimation!$B$18),F705)),1,0))</f>
        <v>0</v>
      </c>
      <c r="H705" s="5" t="str">
        <f>IF(G705=1,SUM($G$4:G705),"")</f>
        <v/>
      </c>
    </row>
    <row r="706" spans="1:8" x14ac:dyDescent="0.35">
      <c r="A706" s="56" t="s">
        <v>1681</v>
      </c>
      <c r="B706" s="56" t="s">
        <v>2830</v>
      </c>
      <c r="C706" s="56" t="s">
        <v>2831</v>
      </c>
      <c r="D706" s="39">
        <v>61</v>
      </c>
      <c r="E706" s="56" t="s">
        <v>2832</v>
      </c>
      <c r="F706" s="55" t="s">
        <v>2833</v>
      </c>
      <c r="G706" s="5">
        <f>IF(Estimation!$B$18="",0,IF(ISNUMBER(SEARCH(LOWER(Estimation!$B$18),F706)),1,0))</f>
        <v>0</v>
      </c>
      <c r="H706" s="5" t="str">
        <f>IF(G706=1,SUM($G$4:G706),"")</f>
        <v/>
      </c>
    </row>
    <row r="707" spans="1:8" x14ac:dyDescent="0.35">
      <c r="A707" s="56" t="s">
        <v>1681</v>
      </c>
      <c r="B707" s="56" t="s">
        <v>2834</v>
      </c>
      <c r="C707" s="56" t="s">
        <v>2835</v>
      </c>
      <c r="D707" s="39">
        <v>125</v>
      </c>
      <c r="E707" s="56" t="s">
        <v>2836</v>
      </c>
      <c r="F707" s="55" t="s">
        <v>2837</v>
      </c>
      <c r="G707" s="5">
        <f>IF(Estimation!$B$18="",0,IF(ISNUMBER(SEARCH(LOWER(Estimation!$B$18),F707)),1,0))</f>
        <v>0</v>
      </c>
      <c r="H707" s="5" t="str">
        <f>IF(G707=1,SUM($G$4:G707),"")</f>
        <v/>
      </c>
    </row>
    <row r="708" spans="1:8" x14ac:dyDescent="0.35">
      <c r="A708" s="56" t="s">
        <v>1681</v>
      </c>
      <c r="B708" s="56" t="s">
        <v>2838</v>
      </c>
      <c r="C708" s="56" t="s">
        <v>2839</v>
      </c>
      <c r="D708" s="39">
        <v>66</v>
      </c>
      <c r="E708" s="56" t="s">
        <v>2840</v>
      </c>
      <c r="F708" s="55" t="s">
        <v>2841</v>
      </c>
      <c r="G708" s="5">
        <f>IF(Estimation!$B$18="",0,IF(ISNUMBER(SEARCH(LOWER(Estimation!$B$18),F708)),1,0))</f>
        <v>0</v>
      </c>
      <c r="H708" s="5" t="str">
        <f>IF(G708=1,SUM($G$4:G708),"")</f>
        <v/>
      </c>
    </row>
    <row r="709" spans="1:8" x14ac:dyDescent="0.35">
      <c r="A709" s="56" t="s">
        <v>1681</v>
      </c>
      <c r="B709" s="56" t="s">
        <v>2842</v>
      </c>
      <c r="C709" s="56" t="s">
        <v>2843</v>
      </c>
      <c r="D709" s="39">
        <v>91</v>
      </c>
      <c r="E709" s="56" t="s">
        <v>2844</v>
      </c>
      <c r="F709" s="55" t="s">
        <v>2845</v>
      </c>
      <c r="G709" s="5">
        <f>IF(Estimation!$B$18="",0,IF(ISNUMBER(SEARCH(LOWER(Estimation!$B$18),F709)),1,0))</f>
        <v>0</v>
      </c>
      <c r="H709" s="5" t="str">
        <f>IF(G709=1,SUM($G$4:G709),"")</f>
        <v/>
      </c>
    </row>
    <row r="710" spans="1:8" x14ac:dyDescent="0.35">
      <c r="A710" s="56" t="s">
        <v>1681</v>
      </c>
      <c r="B710" s="56" t="s">
        <v>2846</v>
      </c>
      <c r="C710" s="56" t="s">
        <v>2847</v>
      </c>
      <c r="D710" s="39">
        <v>91</v>
      </c>
      <c r="E710" s="56" t="s">
        <v>2848</v>
      </c>
      <c r="F710" s="55" t="s">
        <v>2849</v>
      </c>
      <c r="G710" s="5">
        <f>IF(Estimation!$B$18="",0,IF(ISNUMBER(SEARCH(LOWER(Estimation!$B$18),F710)),1,0))</f>
        <v>0</v>
      </c>
      <c r="H710" s="5" t="str">
        <f>IF(G710=1,SUM($G$4:G710),"")</f>
        <v/>
      </c>
    </row>
    <row r="711" spans="1:8" x14ac:dyDescent="0.35">
      <c r="A711" s="56" t="s">
        <v>1681</v>
      </c>
      <c r="B711" s="56" t="s">
        <v>2850</v>
      </c>
      <c r="C711" s="56" t="s">
        <v>2851</v>
      </c>
      <c r="D711" s="39">
        <v>65</v>
      </c>
      <c r="E711" s="56" t="s">
        <v>2852</v>
      </c>
      <c r="F711" s="55" t="s">
        <v>2853</v>
      </c>
      <c r="G711" s="5">
        <f>IF(Estimation!$B$18="",0,IF(ISNUMBER(SEARCH(LOWER(Estimation!$B$18),F711)),1,0))</f>
        <v>0</v>
      </c>
      <c r="H711" s="5" t="str">
        <f>IF(G711=1,SUM($G$4:G711),"")</f>
        <v/>
      </c>
    </row>
    <row r="712" spans="1:8" x14ac:dyDescent="0.35">
      <c r="A712" s="56" t="s">
        <v>1681</v>
      </c>
      <c r="B712" s="56" t="s">
        <v>2854</v>
      </c>
      <c r="C712" s="56" t="s">
        <v>2855</v>
      </c>
      <c r="D712" s="39">
        <v>2585</v>
      </c>
      <c r="E712" s="56" t="s">
        <v>2856</v>
      </c>
      <c r="F712" s="55" t="s">
        <v>2857</v>
      </c>
      <c r="G712" s="5">
        <f>IF(Estimation!$B$18="",0,IF(ISNUMBER(SEARCH(LOWER(Estimation!$B$18),F712)),1,0))</f>
        <v>0</v>
      </c>
      <c r="H712" s="5" t="str">
        <f>IF(G712=1,SUM($G$4:G712),"")</f>
        <v/>
      </c>
    </row>
    <row r="713" spans="1:8" x14ac:dyDescent="0.35">
      <c r="A713" s="56" t="s">
        <v>2858</v>
      </c>
      <c r="B713" s="56" t="s">
        <v>2859</v>
      </c>
      <c r="C713" s="56" t="s">
        <v>2860</v>
      </c>
      <c r="D713" s="39">
        <v>37</v>
      </c>
      <c r="E713" s="56" t="s">
        <v>2861</v>
      </c>
      <c r="F713" s="55" t="s">
        <v>2862</v>
      </c>
      <c r="G713" s="5">
        <f>IF(Estimation!$B$18="",0,IF(ISNUMBER(SEARCH(LOWER(Estimation!$B$18),F713)),1,0))</f>
        <v>0</v>
      </c>
      <c r="H713" s="5" t="str">
        <f>IF(G713=1,SUM($G$4:G713),"")</f>
        <v/>
      </c>
    </row>
    <row r="714" spans="1:8" x14ac:dyDescent="0.35">
      <c r="A714" s="56" t="s">
        <v>2858</v>
      </c>
      <c r="B714" s="56" t="s">
        <v>2863</v>
      </c>
      <c r="C714" s="56" t="s">
        <v>2864</v>
      </c>
      <c r="D714" s="39">
        <v>689.01</v>
      </c>
      <c r="E714" s="56" t="s">
        <v>2865</v>
      </c>
      <c r="F714" s="55" t="s">
        <v>2866</v>
      </c>
      <c r="G714" s="5">
        <f>IF(Estimation!$B$18="",0,IF(ISNUMBER(SEARCH(LOWER(Estimation!$B$18),F714)),1,0))</f>
        <v>0</v>
      </c>
      <c r="H714" s="5" t="str">
        <f>IF(G714=1,SUM($G$4:G714),"")</f>
        <v/>
      </c>
    </row>
    <row r="715" spans="1:8" x14ac:dyDescent="0.35">
      <c r="A715" s="56" t="s">
        <v>2858</v>
      </c>
      <c r="B715" s="56" t="s">
        <v>2867</v>
      </c>
      <c r="C715" s="56" t="s">
        <v>2868</v>
      </c>
      <c r="D715" s="39">
        <v>103.35</v>
      </c>
      <c r="E715" s="56" t="s">
        <v>2869</v>
      </c>
      <c r="F715" s="55" t="s">
        <v>2870</v>
      </c>
      <c r="G715" s="5">
        <f>IF(Estimation!$B$18="",0,IF(ISNUMBER(SEARCH(LOWER(Estimation!$B$18),F715)),1,0))</f>
        <v>0</v>
      </c>
      <c r="H715" s="5" t="str">
        <f>IF(G715=1,SUM($G$4:G715),"")</f>
        <v/>
      </c>
    </row>
    <row r="716" spans="1:8" x14ac:dyDescent="0.35">
      <c r="A716" s="56" t="s">
        <v>2858</v>
      </c>
      <c r="B716" s="56" t="s">
        <v>2871</v>
      </c>
      <c r="C716" s="56" t="s">
        <v>2872</v>
      </c>
      <c r="D716" s="39">
        <v>826.8</v>
      </c>
      <c r="E716" s="56" t="s">
        <v>2873</v>
      </c>
      <c r="F716" s="55" t="s">
        <v>2874</v>
      </c>
      <c r="G716" s="5">
        <f>IF(Estimation!$B$18="",0,IF(ISNUMBER(SEARCH(LOWER(Estimation!$B$18),F716)),1,0))</f>
        <v>0</v>
      </c>
      <c r="H716" s="5" t="str">
        <f>IF(G716=1,SUM($G$4:G716),"")</f>
        <v/>
      </c>
    </row>
    <row r="717" spans="1:8" x14ac:dyDescent="0.35">
      <c r="A717" s="56" t="s">
        <v>2858</v>
      </c>
      <c r="B717" s="56" t="s">
        <v>2875</v>
      </c>
      <c r="C717" s="56" t="s">
        <v>2876</v>
      </c>
      <c r="D717" s="39">
        <v>319.68</v>
      </c>
      <c r="E717" s="56" t="s">
        <v>2877</v>
      </c>
      <c r="F717" s="55" t="s">
        <v>2878</v>
      </c>
      <c r="G717" s="5">
        <f>IF(Estimation!$B$18="",0,IF(ISNUMBER(SEARCH(LOWER(Estimation!$B$18),F717)),1,0))</f>
        <v>0</v>
      </c>
      <c r="H717" s="5" t="str">
        <f>IF(G717=1,SUM($G$4:G717),"")</f>
        <v/>
      </c>
    </row>
    <row r="718" spans="1:8" x14ac:dyDescent="0.35">
      <c r="A718" s="56" t="s">
        <v>2858</v>
      </c>
      <c r="B718" s="56" t="s">
        <v>2879</v>
      </c>
      <c r="C718" s="56" t="s">
        <v>2880</v>
      </c>
      <c r="D718" s="39">
        <v>358.11</v>
      </c>
      <c r="E718" s="56" t="s">
        <v>2881</v>
      </c>
      <c r="F718" s="55" t="s">
        <v>2882</v>
      </c>
      <c r="G718" s="5">
        <f>IF(Estimation!$B$18="",0,IF(ISNUMBER(SEARCH(LOWER(Estimation!$B$18),F718)),1,0))</f>
        <v>0</v>
      </c>
      <c r="H718" s="5" t="str">
        <f>IF(G718=1,SUM($G$4:G718),"")</f>
        <v/>
      </c>
    </row>
    <row r="719" spans="1:8" x14ac:dyDescent="0.35">
      <c r="A719" s="56" t="s">
        <v>2858</v>
      </c>
      <c r="B719" s="56" t="s">
        <v>2883</v>
      </c>
      <c r="C719" s="56" t="s">
        <v>2884</v>
      </c>
      <c r="D719" s="39">
        <v>262.02999999999997</v>
      </c>
      <c r="E719" s="56" t="s">
        <v>2885</v>
      </c>
      <c r="F719" s="55" t="s">
        <v>2886</v>
      </c>
      <c r="G719" s="5">
        <f>IF(Estimation!$B$18="",0,IF(ISNUMBER(SEARCH(LOWER(Estimation!$B$18),F719)),1,0))</f>
        <v>0</v>
      </c>
      <c r="H719" s="5" t="str">
        <f>IF(G719=1,SUM($G$4:G719),"")</f>
        <v/>
      </c>
    </row>
    <row r="720" spans="1:8" x14ac:dyDescent="0.35">
      <c r="A720" s="56" t="s">
        <v>2858</v>
      </c>
      <c r="B720" s="56" t="s">
        <v>2887</v>
      </c>
      <c r="C720" s="56" t="s">
        <v>2888</v>
      </c>
      <c r="D720" s="39">
        <v>290.86</v>
      </c>
      <c r="E720" s="56" t="s">
        <v>2889</v>
      </c>
      <c r="F720" s="55" t="s">
        <v>2890</v>
      </c>
      <c r="G720" s="5">
        <f>IF(Estimation!$B$18="",0,IF(ISNUMBER(SEARCH(LOWER(Estimation!$B$18),F720)),1,0))</f>
        <v>0</v>
      </c>
      <c r="H720" s="5" t="str">
        <f>IF(G720=1,SUM($G$4:G720),"")</f>
        <v/>
      </c>
    </row>
    <row r="721" spans="1:8" x14ac:dyDescent="0.35">
      <c r="A721" s="56" t="s">
        <v>2858</v>
      </c>
      <c r="B721" s="56" t="s">
        <v>2891</v>
      </c>
      <c r="C721" s="56" t="s">
        <v>2892</v>
      </c>
      <c r="D721" s="39">
        <v>895.71</v>
      </c>
      <c r="E721" s="56" t="s">
        <v>2893</v>
      </c>
      <c r="F721" s="55" t="s">
        <v>2894</v>
      </c>
      <c r="G721" s="5">
        <f>IF(Estimation!$B$18="",0,IF(ISNUMBER(SEARCH(LOWER(Estimation!$B$18),F721)),1,0))</f>
        <v>0</v>
      </c>
      <c r="H721" s="5" t="str">
        <f>IF(G721=1,SUM($G$4:G721),"")</f>
        <v/>
      </c>
    </row>
    <row r="722" spans="1:8" x14ac:dyDescent="0.35">
      <c r="A722" s="56" t="s">
        <v>2858</v>
      </c>
      <c r="B722" s="56" t="s">
        <v>2895</v>
      </c>
      <c r="C722" s="56" t="s">
        <v>2896</v>
      </c>
      <c r="D722" s="39">
        <v>137.80000000000001</v>
      </c>
      <c r="E722" s="56" t="s">
        <v>2897</v>
      </c>
      <c r="F722" s="55" t="s">
        <v>2898</v>
      </c>
      <c r="G722" s="5">
        <f>IF(Estimation!$B$18="",0,IF(ISNUMBER(SEARCH(LOWER(Estimation!$B$18),F722)),1,0))</f>
        <v>0</v>
      </c>
      <c r="H722" s="5" t="str">
        <f>IF(G722=1,SUM($G$4:G722),"")</f>
        <v/>
      </c>
    </row>
    <row r="723" spans="1:8" x14ac:dyDescent="0.35">
      <c r="A723" s="56" t="s">
        <v>2858</v>
      </c>
      <c r="B723" s="56" t="s">
        <v>2899</v>
      </c>
      <c r="C723" s="56" t="s">
        <v>2900</v>
      </c>
      <c r="D723" s="39">
        <v>41.46</v>
      </c>
      <c r="E723" s="56" t="s">
        <v>2901</v>
      </c>
      <c r="F723" s="55" t="s">
        <v>2902</v>
      </c>
      <c r="G723" s="5">
        <f>IF(Estimation!$B$18="",0,IF(ISNUMBER(SEARCH(LOWER(Estimation!$B$18),F723)),1,0))</f>
        <v>0</v>
      </c>
      <c r="H723" s="5" t="str">
        <f>IF(G723=1,SUM($G$4:G723),"")</f>
        <v/>
      </c>
    </row>
    <row r="724" spans="1:8" x14ac:dyDescent="0.35">
      <c r="A724" s="56" t="s">
        <v>2858</v>
      </c>
      <c r="B724" s="56" t="s">
        <v>2903</v>
      </c>
      <c r="C724" s="56" t="s">
        <v>2904</v>
      </c>
      <c r="D724" s="39">
        <v>1240.21</v>
      </c>
      <c r="E724" s="56" t="s">
        <v>2905</v>
      </c>
      <c r="F724" s="55" t="s">
        <v>2906</v>
      </c>
      <c r="G724" s="5">
        <f>IF(Estimation!$B$18="",0,IF(ISNUMBER(SEARCH(LOWER(Estimation!$B$18),F724)),1,0))</f>
        <v>0</v>
      </c>
      <c r="H724" s="5" t="str">
        <f>IF(G724=1,SUM($G$4:G724),"")</f>
        <v/>
      </c>
    </row>
    <row r="725" spans="1:8" x14ac:dyDescent="0.35">
      <c r="A725" s="56" t="s">
        <v>2858</v>
      </c>
      <c r="B725" s="56" t="s">
        <v>2907</v>
      </c>
      <c r="C725" s="56" t="s">
        <v>2908</v>
      </c>
      <c r="D725" s="39">
        <v>229.66</v>
      </c>
      <c r="E725" s="56" t="s">
        <v>2909</v>
      </c>
      <c r="F725" s="55" t="s">
        <v>2910</v>
      </c>
      <c r="G725" s="5">
        <f>IF(Estimation!$B$18="",0,IF(ISNUMBER(SEARCH(LOWER(Estimation!$B$18),F725)),1,0))</f>
        <v>0</v>
      </c>
      <c r="H725" s="5" t="str">
        <f>IF(G725=1,SUM($G$4:G725),"")</f>
        <v/>
      </c>
    </row>
    <row r="726" spans="1:8" x14ac:dyDescent="0.35">
      <c r="A726" s="56" t="s">
        <v>2858</v>
      </c>
      <c r="B726" s="56" t="s">
        <v>2911</v>
      </c>
      <c r="C726" s="56" t="s">
        <v>2912</v>
      </c>
      <c r="D726" s="39">
        <v>242.43</v>
      </c>
      <c r="E726" s="56" t="s">
        <v>2913</v>
      </c>
      <c r="F726" s="55" t="s">
        <v>2914</v>
      </c>
      <c r="G726" s="5">
        <f>IF(Estimation!$B$18="",0,IF(ISNUMBER(SEARCH(LOWER(Estimation!$B$18),F726)),1,0))</f>
        <v>0</v>
      </c>
      <c r="H726" s="5" t="str">
        <f>IF(G726=1,SUM($G$4:G726),"")</f>
        <v/>
      </c>
    </row>
    <row r="727" spans="1:8" x14ac:dyDescent="0.35">
      <c r="A727" s="56" t="s">
        <v>2858</v>
      </c>
      <c r="B727" s="56" t="s">
        <v>2915</v>
      </c>
      <c r="C727" s="56" t="s">
        <v>2916</v>
      </c>
      <c r="D727" s="39">
        <v>255.18</v>
      </c>
      <c r="E727" s="56" t="s">
        <v>2917</v>
      </c>
      <c r="F727" s="55" t="s">
        <v>2918</v>
      </c>
      <c r="G727" s="5">
        <f>IF(Estimation!$B$18="",0,IF(ISNUMBER(SEARCH(LOWER(Estimation!$B$18),F727)),1,0))</f>
        <v>0</v>
      </c>
      <c r="H727" s="5" t="str">
        <f>IF(G727=1,SUM($G$4:G727),"")</f>
        <v/>
      </c>
    </row>
    <row r="728" spans="1:8" x14ac:dyDescent="0.35">
      <c r="A728" s="56" t="s">
        <v>2858</v>
      </c>
      <c r="B728" s="56" t="s">
        <v>2919</v>
      </c>
      <c r="C728" s="56" t="s">
        <v>2920</v>
      </c>
      <c r="D728" s="39">
        <v>344.51</v>
      </c>
      <c r="E728" s="56" t="s">
        <v>2921</v>
      </c>
      <c r="F728" s="55" t="s">
        <v>2922</v>
      </c>
      <c r="G728" s="5">
        <f>IF(Estimation!$B$18="",0,IF(ISNUMBER(SEARCH(LOWER(Estimation!$B$18),F728)),1,0))</f>
        <v>0</v>
      </c>
      <c r="H728" s="5" t="str">
        <f>IF(G728=1,SUM($G$4:G728),"")</f>
        <v/>
      </c>
    </row>
    <row r="729" spans="1:8" x14ac:dyDescent="0.35">
      <c r="A729" s="56" t="s">
        <v>2858</v>
      </c>
      <c r="B729" s="56" t="s">
        <v>2923</v>
      </c>
      <c r="C729" s="56" t="s">
        <v>2924</v>
      </c>
      <c r="D729" s="39">
        <v>387.88</v>
      </c>
      <c r="E729" s="56" t="s">
        <v>2925</v>
      </c>
      <c r="F729" s="55" t="s">
        <v>2926</v>
      </c>
      <c r="G729" s="5">
        <f>IF(Estimation!$B$18="",0,IF(ISNUMBER(SEARCH(LOWER(Estimation!$B$18),F729)),1,0))</f>
        <v>0</v>
      </c>
      <c r="H729" s="5" t="str">
        <f>IF(G729=1,SUM($G$4:G729),"")</f>
        <v/>
      </c>
    </row>
    <row r="730" spans="1:8" x14ac:dyDescent="0.35">
      <c r="A730" s="56" t="s">
        <v>2858</v>
      </c>
      <c r="B730" s="56" t="s">
        <v>2927</v>
      </c>
      <c r="C730" s="56" t="s">
        <v>2928</v>
      </c>
      <c r="D730" s="39">
        <v>482.31</v>
      </c>
      <c r="E730" s="56" t="s">
        <v>2929</v>
      </c>
      <c r="F730" s="55" t="s">
        <v>2930</v>
      </c>
      <c r="G730" s="5">
        <f>IF(Estimation!$B$18="",0,IF(ISNUMBER(SEARCH(LOWER(Estimation!$B$18),F730)),1,0))</f>
        <v>0</v>
      </c>
      <c r="H730" s="5" t="str">
        <f>IF(G730=1,SUM($G$4:G730),"")</f>
        <v/>
      </c>
    </row>
    <row r="731" spans="1:8" x14ac:dyDescent="0.35">
      <c r="A731" s="56" t="s">
        <v>2858</v>
      </c>
      <c r="B731" s="56" t="s">
        <v>2931</v>
      </c>
      <c r="C731" s="56" t="s">
        <v>2932</v>
      </c>
      <c r="D731" s="39">
        <v>482.31</v>
      </c>
      <c r="E731" s="56" t="s">
        <v>2933</v>
      </c>
      <c r="F731" s="55" t="s">
        <v>2934</v>
      </c>
      <c r="G731" s="5">
        <f>IF(Estimation!$B$18="",0,IF(ISNUMBER(SEARCH(LOWER(Estimation!$B$18),F731)),1,0))</f>
        <v>0</v>
      </c>
      <c r="H731" s="5" t="str">
        <f>IF(G731=1,SUM($G$4:G731),"")</f>
        <v/>
      </c>
    </row>
    <row r="732" spans="1:8" x14ac:dyDescent="0.35">
      <c r="A732" s="56" t="s">
        <v>2858</v>
      </c>
      <c r="B732" s="56" t="s">
        <v>2935</v>
      </c>
      <c r="C732" s="56" t="s">
        <v>2936</v>
      </c>
      <c r="D732" s="39">
        <v>47.21</v>
      </c>
      <c r="E732" s="56" t="s">
        <v>2937</v>
      </c>
      <c r="F732" s="55" t="s">
        <v>2938</v>
      </c>
      <c r="G732" s="5">
        <f>IF(Estimation!$B$18="",0,IF(ISNUMBER(SEARCH(LOWER(Estimation!$B$18),F732)),1,0))</f>
        <v>0</v>
      </c>
      <c r="H732" s="5" t="str">
        <f>IF(G732=1,SUM($G$4:G732),"")</f>
        <v/>
      </c>
    </row>
    <row r="733" spans="1:8" x14ac:dyDescent="0.35">
      <c r="A733" s="56" t="s">
        <v>2858</v>
      </c>
      <c r="B733" s="56" t="s">
        <v>2939</v>
      </c>
      <c r="C733" s="56" t="s">
        <v>2940</v>
      </c>
      <c r="D733" s="39">
        <v>620.11</v>
      </c>
      <c r="E733" s="56" t="s">
        <v>2941</v>
      </c>
      <c r="F733" s="55" t="s">
        <v>2942</v>
      </c>
      <c r="G733" s="5">
        <f>IF(Estimation!$B$18="",0,IF(ISNUMBER(SEARCH(LOWER(Estimation!$B$18),F733)),1,0))</f>
        <v>0</v>
      </c>
      <c r="H733" s="5" t="str">
        <f>IF(G733=1,SUM($G$4:G733),"")</f>
        <v/>
      </c>
    </row>
    <row r="734" spans="1:8" x14ac:dyDescent="0.35">
      <c r="A734" s="56" t="s">
        <v>2858</v>
      </c>
      <c r="B734" s="56" t="s">
        <v>2943</v>
      </c>
      <c r="C734" s="56" t="s">
        <v>2944</v>
      </c>
      <c r="D734" s="39">
        <v>650.73</v>
      </c>
      <c r="E734" s="56" t="s">
        <v>2945</v>
      </c>
      <c r="F734" s="55" t="s">
        <v>2946</v>
      </c>
      <c r="G734" s="5">
        <f>IF(Estimation!$B$18="",0,IF(ISNUMBER(SEARCH(LOWER(Estimation!$B$18),F734)),1,0))</f>
        <v>0</v>
      </c>
      <c r="H734" s="5" t="str">
        <f>IF(G734=1,SUM($G$4:G734),"")</f>
        <v/>
      </c>
    </row>
    <row r="735" spans="1:8" x14ac:dyDescent="0.35">
      <c r="A735" s="56" t="s">
        <v>2858</v>
      </c>
      <c r="B735" s="56" t="s">
        <v>2947</v>
      </c>
      <c r="C735" s="56" t="s">
        <v>2948</v>
      </c>
      <c r="D735" s="39">
        <v>52</v>
      </c>
      <c r="E735" s="56" t="s">
        <v>2949</v>
      </c>
      <c r="F735" s="55" t="s">
        <v>2950</v>
      </c>
      <c r="G735" s="5">
        <f>IF(Estimation!$B$18="",0,IF(ISNUMBER(SEARCH(LOWER(Estimation!$B$18),F735)),1,0))</f>
        <v>0</v>
      </c>
      <c r="H735" s="5" t="str">
        <f>IF(G735=1,SUM($G$4:G735),"")</f>
        <v/>
      </c>
    </row>
    <row r="736" spans="1:8" x14ac:dyDescent="0.35">
      <c r="A736" s="56" t="s">
        <v>2858</v>
      </c>
      <c r="B736" s="56" t="s">
        <v>2951</v>
      </c>
      <c r="C736" s="56" t="s">
        <v>2952</v>
      </c>
      <c r="D736" s="39">
        <v>133.86000000000001</v>
      </c>
      <c r="E736" s="56" t="s">
        <v>2953</v>
      </c>
      <c r="F736" s="55" t="s">
        <v>2954</v>
      </c>
      <c r="G736" s="5">
        <f>IF(Estimation!$B$18="",0,IF(ISNUMBER(SEARCH(LOWER(Estimation!$B$18),F736)),1,0))</f>
        <v>0</v>
      </c>
      <c r="H736" s="5" t="str">
        <f>IF(G736=1,SUM($G$4:G736),"")</f>
        <v/>
      </c>
    </row>
    <row r="737" spans="1:8" x14ac:dyDescent="0.35">
      <c r="A737" s="56" t="s">
        <v>2858</v>
      </c>
      <c r="B737" s="56" t="s">
        <v>2955</v>
      </c>
      <c r="C737" s="56" t="s">
        <v>2956</v>
      </c>
      <c r="D737" s="39">
        <v>57.19</v>
      </c>
      <c r="E737" s="56" t="s">
        <v>2957</v>
      </c>
      <c r="F737" s="55" t="s">
        <v>2958</v>
      </c>
      <c r="G737" s="5">
        <f>IF(Estimation!$B$18="",0,IF(ISNUMBER(SEARCH(LOWER(Estimation!$B$18),F737)),1,0))</f>
        <v>0</v>
      </c>
      <c r="H737" s="5" t="str">
        <f>IF(G737=1,SUM($G$4:G737),"")</f>
        <v/>
      </c>
    </row>
    <row r="738" spans="1:8" x14ac:dyDescent="0.35">
      <c r="A738" s="56" t="s">
        <v>2858</v>
      </c>
      <c r="B738" s="56" t="s">
        <v>2959</v>
      </c>
      <c r="C738" s="56" t="s">
        <v>2960</v>
      </c>
      <c r="D738" s="39">
        <v>15.89</v>
      </c>
      <c r="E738" s="56" t="s">
        <v>2961</v>
      </c>
      <c r="F738" s="55" t="s">
        <v>2962</v>
      </c>
      <c r="G738" s="5">
        <f>IF(Estimation!$B$18="",0,IF(ISNUMBER(SEARCH(LOWER(Estimation!$B$18),F738)),1,0))</f>
        <v>0</v>
      </c>
      <c r="H738" s="5" t="str">
        <f>IF(G738=1,SUM($G$4:G738),"")</f>
        <v/>
      </c>
    </row>
    <row r="739" spans="1:8" x14ac:dyDescent="0.35">
      <c r="A739" s="56" t="s">
        <v>2858</v>
      </c>
      <c r="B739" s="56" t="s">
        <v>2963</v>
      </c>
      <c r="C739" s="56" t="s">
        <v>2964</v>
      </c>
      <c r="D739" s="39">
        <v>55.91</v>
      </c>
      <c r="E739" s="56" t="s">
        <v>2965</v>
      </c>
      <c r="F739" s="55" t="s">
        <v>2966</v>
      </c>
      <c r="G739" s="5">
        <f>IF(Estimation!$B$18="",0,IF(ISNUMBER(SEARCH(LOWER(Estimation!$B$18),F739)),1,0))</f>
        <v>0</v>
      </c>
      <c r="H739" s="5" t="str">
        <f>IF(G739=1,SUM($G$4:G739),"")</f>
        <v/>
      </c>
    </row>
    <row r="740" spans="1:8" x14ac:dyDescent="0.35">
      <c r="A740" s="56" t="s">
        <v>2858</v>
      </c>
      <c r="B740" s="56" t="s">
        <v>2967</v>
      </c>
      <c r="C740" s="56" t="s">
        <v>2968</v>
      </c>
      <c r="D740" s="39">
        <v>54.77</v>
      </c>
      <c r="E740" s="56" t="s">
        <v>2969</v>
      </c>
      <c r="F740" s="55" t="s">
        <v>2970</v>
      </c>
      <c r="G740" s="5">
        <f>IF(Estimation!$B$18="",0,IF(ISNUMBER(SEARCH(LOWER(Estimation!$B$18),F740)),1,0))</f>
        <v>0</v>
      </c>
      <c r="H740" s="5" t="str">
        <f>IF(G740=1,SUM($G$4:G740),"")</f>
        <v/>
      </c>
    </row>
    <row r="741" spans="1:8" x14ac:dyDescent="0.35">
      <c r="A741" s="56" t="s">
        <v>2858</v>
      </c>
      <c r="B741" s="56" t="s">
        <v>2971</v>
      </c>
      <c r="C741" s="56" t="s">
        <v>2972</v>
      </c>
      <c r="D741" s="39">
        <v>156.91</v>
      </c>
      <c r="E741" s="56" t="s">
        <v>2973</v>
      </c>
      <c r="F741" s="55" t="s">
        <v>2974</v>
      </c>
      <c r="G741" s="5">
        <f>IF(Estimation!$B$18="",0,IF(ISNUMBER(SEARCH(LOWER(Estimation!$B$18),F741)),1,0))</f>
        <v>0</v>
      </c>
      <c r="H741" s="5" t="str">
        <f>IF(G741=1,SUM($G$4:G741),"")</f>
        <v/>
      </c>
    </row>
    <row r="742" spans="1:8" x14ac:dyDescent="0.35">
      <c r="A742" s="56" t="s">
        <v>2858</v>
      </c>
      <c r="B742" s="56" t="s">
        <v>595</v>
      </c>
      <c r="C742" s="56" t="s">
        <v>2975</v>
      </c>
      <c r="D742" s="39">
        <v>156.91</v>
      </c>
      <c r="E742" s="56" t="s">
        <v>2976</v>
      </c>
      <c r="F742" s="55" t="s">
        <v>2977</v>
      </c>
      <c r="G742" s="5">
        <f>IF(Estimation!$B$18="",0,IF(ISNUMBER(SEARCH(LOWER(Estimation!$B$18),F742)),1,0))</f>
        <v>0</v>
      </c>
      <c r="H742" s="5" t="str">
        <f>IF(G742=1,SUM($G$4:G742),"")</f>
        <v/>
      </c>
    </row>
    <row r="743" spans="1:8" x14ac:dyDescent="0.35">
      <c r="A743" s="56" t="s">
        <v>2858</v>
      </c>
      <c r="B743" s="56" t="s">
        <v>2978</v>
      </c>
      <c r="C743" s="56" t="s">
        <v>2979</v>
      </c>
      <c r="D743" s="39">
        <v>152.91</v>
      </c>
      <c r="E743" s="56" t="s">
        <v>2980</v>
      </c>
      <c r="F743" s="55" t="s">
        <v>2981</v>
      </c>
      <c r="G743" s="5">
        <f>IF(Estimation!$B$18="",0,IF(ISNUMBER(SEARCH(LOWER(Estimation!$B$18),F743)),1,0))</f>
        <v>0</v>
      </c>
      <c r="H743" s="5" t="str">
        <f>IF(G743=1,SUM($G$4:G743),"")</f>
        <v/>
      </c>
    </row>
    <row r="744" spans="1:8" x14ac:dyDescent="0.35">
      <c r="A744" s="56" t="s">
        <v>2858</v>
      </c>
      <c r="B744" s="56" t="s">
        <v>2982</v>
      </c>
      <c r="C744" s="56" t="s">
        <v>2983</v>
      </c>
      <c r="D744" s="39">
        <v>152.91</v>
      </c>
      <c r="E744" s="56" t="s">
        <v>2984</v>
      </c>
      <c r="F744" s="55" t="s">
        <v>2985</v>
      </c>
      <c r="G744" s="5">
        <f>IF(Estimation!$B$18="",0,IF(ISNUMBER(SEARCH(LOWER(Estimation!$B$18),F744)),1,0))</f>
        <v>0</v>
      </c>
      <c r="H744" s="5" t="str">
        <f>IF(G744=1,SUM($G$4:G744),"")</f>
        <v/>
      </c>
    </row>
    <row r="745" spans="1:8" x14ac:dyDescent="0.35">
      <c r="A745" s="56" t="s">
        <v>2858</v>
      </c>
      <c r="B745" s="56" t="s">
        <v>2986</v>
      </c>
      <c r="C745" s="56" t="s">
        <v>2987</v>
      </c>
      <c r="D745" s="39">
        <v>125.53</v>
      </c>
      <c r="E745" s="56" t="s">
        <v>2988</v>
      </c>
      <c r="F745" s="55" t="s">
        <v>2989</v>
      </c>
      <c r="G745" s="5">
        <f>IF(Estimation!$B$18="",0,IF(ISNUMBER(SEARCH(LOWER(Estimation!$B$18),F745)),1,0))</f>
        <v>0</v>
      </c>
      <c r="H745" s="5" t="str">
        <f>IF(G745=1,SUM($G$4:G745),"")</f>
        <v/>
      </c>
    </row>
    <row r="746" spans="1:8" x14ac:dyDescent="0.35">
      <c r="A746" s="56" t="s">
        <v>2858</v>
      </c>
      <c r="B746" s="56" t="s">
        <v>2990</v>
      </c>
      <c r="C746" s="56" t="s">
        <v>2991</v>
      </c>
      <c r="D746" s="39">
        <v>133.51</v>
      </c>
      <c r="E746" s="56" t="s">
        <v>2992</v>
      </c>
      <c r="F746" s="55" t="s">
        <v>2993</v>
      </c>
      <c r="G746" s="5">
        <f>IF(Estimation!$B$18="",0,IF(ISNUMBER(SEARCH(LOWER(Estimation!$B$18),F746)),1,0))</f>
        <v>0</v>
      </c>
      <c r="H746" s="5" t="str">
        <f>IF(G746=1,SUM($G$4:G746),"")</f>
        <v/>
      </c>
    </row>
    <row r="747" spans="1:8" x14ac:dyDescent="0.35">
      <c r="A747" s="56" t="s">
        <v>2858</v>
      </c>
      <c r="B747" s="56" t="s">
        <v>2994</v>
      </c>
      <c r="C747" s="56" t="s">
        <v>2995</v>
      </c>
      <c r="D747" s="39">
        <v>125.53</v>
      </c>
      <c r="E747" s="56" t="s">
        <v>2996</v>
      </c>
      <c r="F747" s="55" t="s">
        <v>2997</v>
      </c>
      <c r="G747" s="5">
        <f>IF(Estimation!$B$18="",0,IF(ISNUMBER(SEARCH(LOWER(Estimation!$B$18),F747)),1,0))</f>
        <v>0</v>
      </c>
      <c r="H747" s="5" t="str">
        <f>IF(G747=1,SUM($G$4:G747),"")</f>
        <v/>
      </c>
    </row>
    <row r="748" spans="1:8" x14ac:dyDescent="0.35">
      <c r="A748" s="56" t="s">
        <v>2858</v>
      </c>
      <c r="B748" s="56" t="s">
        <v>2998</v>
      </c>
      <c r="C748" s="56" t="s">
        <v>2999</v>
      </c>
      <c r="D748" s="39">
        <v>125.53</v>
      </c>
      <c r="E748" s="56" t="s">
        <v>3000</v>
      </c>
      <c r="F748" s="55" t="s">
        <v>3001</v>
      </c>
      <c r="G748" s="5">
        <f>IF(Estimation!$B$18="",0,IF(ISNUMBER(SEARCH(LOWER(Estimation!$B$18),F748)),1,0))</f>
        <v>0</v>
      </c>
      <c r="H748" s="5" t="str">
        <f>IF(G748=1,SUM($G$4:G748),"")</f>
        <v/>
      </c>
    </row>
    <row r="749" spans="1:8" x14ac:dyDescent="0.35">
      <c r="A749" s="56" t="s">
        <v>2858</v>
      </c>
      <c r="B749" s="56" t="s">
        <v>3002</v>
      </c>
      <c r="C749" s="56" t="s">
        <v>3003</v>
      </c>
      <c r="D749" s="39">
        <v>133.51</v>
      </c>
      <c r="E749" s="56" t="s">
        <v>3004</v>
      </c>
      <c r="F749" s="55" t="s">
        <v>3005</v>
      </c>
      <c r="G749" s="5">
        <f>IF(Estimation!$B$18="",0,IF(ISNUMBER(SEARCH(LOWER(Estimation!$B$18),F749)),1,0))</f>
        <v>0</v>
      </c>
      <c r="H749" s="5" t="str">
        <f>IF(G749=1,SUM($G$4:G749),"")</f>
        <v/>
      </c>
    </row>
    <row r="750" spans="1:8" x14ac:dyDescent="0.35">
      <c r="A750" s="56" t="s">
        <v>2858</v>
      </c>
      <c r="B750" s="56" t="s">
        <v>3006</v>
      </c>
      <c r="C750" s="56" t="s">
        <v>3007</v>
      </c>
      <c r="D750" s="39">
        <v>83.66</v>
      </c>
      <c r="E750" s="56" t="s">
        <v>3008</v>
      </c>
      <c r="F750" s="55" t="s">
        <v>3009</v>
      </c>
      <c r="G750" s="5">
        <f>IF(Estimation!$B$18="",0,IF(ISNUMBER(SEARCH(LOWER(Estimation!$B$18),F750)),1,0))</f>
        <v>0</v>
      </c>
      <c r="H750" s="5" t="str">
        <f>IF(G750=1,SUM($G$4:G750),"")</f>
        <v/>
      </c>
    </row>
    <row r="751" spans="1:8" x14ac:dyDescent="0.35">
      <c r="A751" s="56" t="s">
        <v>2858</v>
      </c>
      <c r="B751" s="56" t="s">
        <v>3010</v>
      </c>
      <c r="C751" s="56" t="s">
        <v>3011</v>
      </c>
      <c r="D751" s="39">
        <v>112.36</v>
      </c>
      <c r="E751" s="56" t="s">
        <v>3012</v>
      </c>
      <c r="F751" s="55" t="s">
        <v>3013</v>
      </c>
      <c r="G751" s="5">
        <f>IF(Estimation!$B$18="",0,IF(ISNUMBER(SEARCH(LOWER(Estimation!$B$18),F751)),1,0))</f>
        <v>0</v>
      </c>
      <c r="H751" s="5" t="str">
        <f>IF(G751=1,SUM($G$4:G751),"")</f>
        <v/>
      </c>
    </row>
    <row r="752" spans="1:8" x14ac:dyDescent="0.35">
      <c r="A752" s="56" t="s">
        <v>2858</v>
      </c>
      <c r="B752" s="56" t="s">
        <v>3014</v>
      </c>
      <c r="C752" s="56" t="s">
        <v>3015</v>
      </c>
      <c r="D752" s="39">
        <v>56.86</v>
      </c>
      <c r="E752" s="56" t="s">
        <v>3016</v>
      </c>
      <c r="F752" s="55" t="s">
        <v>3017</v>
      </c>
      <c r="G752" s="5">
        <f>IF(Estimation!$B$18="",0,IF(ISNUMBER(SEARCH(LOWER(Estimation!$B$18),F752)),1,0))</f>
        <v>0</v>
      </c>
      <c r="H752" s="5" t="str">
        <f>IF(G752=1,SUM($G$4:G752),"")</f>
        <v/>
      </c>
    </row>
    <row r="753" spans="1:8" x14ac:dyDescent="0.35">
      <c r="A753" s="56" t="s">
        <v>2858</v>
      </c>
      <c r="B753" s="56" t="s">
        <v>3018</v>
      </c>
      <c r="C753" s="56" t="s">
        <v>3019</v>
      </c>
      <c r="D753" s="39">
        <v>93.28</v>
      </c>
      <c r="E753" s="56" t="s">
        <v>3020</v>
      </c>
      <c r="F753" s="55" t="s">
        <v>3021</v>
      </c>
      <c r="G753" s="5">
        <f>IF(Estimation!$B$18="",0,IF(ISNUMBER(SEARCH(LOWER(Estimation!$B$18),F753)),1,0))</f>
        <v>0</v>
      </c>
      <c r="H753" s="5" t="str">
        <f>IF(G753=1,SUM($G$4:G753),"")</f>
        <v/>
      </c>
    </row>
    <row r="754" spans="1:8" x14ac:dyDescent="0.35">
      <c r="A754" s="56" t="s">
        <v>2858</v>
      </c>
      <c r="B754" s="56" t="s">
        <v>3022</v>
      </c>
      <c r="C754" s="56" t="s">
        <v>3023</v>
      </c>
      <c r="D754" s="39">
        <v>113.5</v>
      </c>
      <c r="E754" s="56" t="s">
        <v>3024</v>
      </c>
      <c r="F754" s="55" t="s">
        <v>3025</v>
      </c>
      <c r="G754" s="5">
        <f>IF(Estimation!$B$18="",0,IF(ISNUMBER(SEARCH(LOWER(Estimation!$B$18),F754)),1,0))</f>
        <v>0</v>
      </c>
      <c r="H754" s="5" t="str">
        <f>IF(G754=1,SUM($G$4:G754),"")</f>
        <v/>
      </c>
    </row>
    <row r="755" spans="1:8" x14ac:dyDescent="0.35">
      <c r="A755" s="56" t="s">
        <v>2858</v>
      </c>
      <c r="B755" s="56" t="s">
        <v>3026</v>
      </c>
      <c r="C755" s="56" t="s">
        <v>3027</v>
      </c>
      <c r="D755" s="39">
        <v>119.23</v>
      </c>
      <c r="E755" s="56" t="s">
        <v>3028</v>
      </c>
      <c r="F755" s="55" t="s">
        <v>3029</v>
      </c>
      <c r="G755" s="5">
        <f>IF(Estimation!$B$18="",0,IF(ISNUMBER(SEARCH(LOWER(Estimation!$B$18),F755)),1,0))</f>
        <v>0</v>
      </c>
      <c r="H755" s="5" t="str">
        <f>IF(G755=1,SUM($G$4:G755),"")</f>
        <v/>
      </c>
    </row>
    <row r="756" spans="1:8" x14ac:dyDescent="0.35">
      <c r="A756" s="56" t="s">
        <v>2858</v>
      </c>
      <c r="B756" s="56" t="s">
        <v>3030</v>
      </c>
      <c r="C756" s="56" t="s">
        <v>3031</v>
      </c>
      <c r="D756" s="39">
        <v>188.01</v>
      </c>
      <c r="E756" s="56" t="s">
        <v>3032</v>
      </c>
      <c r="F756" s="55" t="s">
        <v>3033</v>
      </c>
      <c r="G756" s="5">
        <f>IF(Estimation!$B$18="",0,IF(ISNUMBER(SEARCH(LOWER(Estimation!$B$18),F756)),1,0))</f>
        <v>0</v>
      </c>
      <c r="H756" s="5" t="str">
        <f>IF(G756=1,SUM($G$4:G756),"")</f>
        <v/>
      </c>
    </row>
    <row r="757" spans="1:8" x14ac:dyDescent="0.35">
      <c r="A757" s="56" t="s">
        <v>2858</v>
      </c>
      <c r="B757" s="56" t="s">
        <v>3034</v>
      </c>
      <c r="C757" s="56" t="s">
        <v>3035</v>
      </c>
      <c r="D757" s="39">
        <v>2379.9</v>
      </c>
      <c r="E757" s="56" t="s">
        <v>3036</v>
      </c>
      <c r="F757" s="55" t="s">
        <v>3037</v>
      </c>
      <c r="G757" s="5">
        <f>IF(Estimation!$B$18="",0,IF(ISNUMBER(SEARCH(LOWER(Estimation!$B$18),F757)),1,0))</f>
        <v>0</v>
      </c>
      <c r="H757" s="5" t="str">
        <f>IF(G757=1,SUM($G$4:G757),"")</f>
        <v/>
      </c>
    </row>
    <row r="758" spans="1:8" x14ac:dyDescent="0.35">
      <c r="A758" s="56" t="s">
        <v>2858</v>
      </c>
      <c r="B758" s="56" t="s">
        <v>3038</v>
      </c>
      <c r="C758" s="56" t="s">
        <v>3039</v>
      </c>
      <c r="D758" s="39">
        <v>2980.62</v>
      </c>
      <c r="E758" s="56" t="s">
        <v>3040</v>
      </c>
      <c r="F758" s="55" t="s">
        <v>3041</v>
      </c>
      <c r="G758" s="5">
        <f>IF(Estimation!$B$18="",0,IF(ISNUMBER(SEARCH(LOWER(Estimation!$B$18),F758)),1,0))</f>
        <v>0</v>
      </c>
      <c r="H758" s="5" t="str">
        <f>IF(G758=1,SUM($G$4:G758),"")</f>
        <v/>
      </c>
    </row>
    <row r="759" spans="1:8" x14ac:dyDescent="0.35">
      <c r="A759" s="56" t="s">
        <v>2858</v>
      </c>
      <c r="B759" s="56" t="s">
        <v>3042</v>
      </c>
      <c r="C759" s="56" t="s">
        <v>3043</v>
      </c>
      <c r="D759" s="39">
        <v>1179.1400000000001</v>
      </c>
      <c r="E759" s="56" t="s">
        <v>3044</v>
      </c>
      <c r="F759" s="55" t="s">
        <v>3045</v>
      </c>
      <c r="G759" s="5">
        <f>IF(Estimation!$B$18="",0,IF(ISNUMBER(SEARCH(LOWER(Estimation!$B$18),F759)),1,0))</f>
        <v>0</v>
      </c>
      <c r="H759" s="5" t="str">
        <f>IF(G759=1,SUM($G$4:G759),"")</f>
        <v/>
      </c>
    </row>
    <row r="760" spans="1:8" x14ac:dyDescent="0.35">
      <c r="A760" s="56" t="s">
        <v>2858</v>
      </c>
      <c r="B760" s="56" t="s">
        <v>3046</v>
      </c>
      <c r="C760" s="56" t="s">
        <v>3047</v>
      </c>
      <c r="D760" s="39">
        <v>1149.8900000000001</v>
      </c>
      <c r="E760" s="56" t="s">
        <v>3048</v>
      </c>
      <c r="F760" s="55" t="s">
        <v>3049</v>
      </c>
      <c r="G760" s="5">
        <f>IF(Estimation!$B$18="",0,IF(ISNUMBER(SEARCH(LOWER(Estimation!$B$18),F760)),1,0))</f>
        <v>0</v>
      </c>
      <c r="H760" s="5" t="str">
        <f>IF(G760=1,SUM($G$4:G760),"")</f>
        <v/>
      </c>
    </row>
    <row r="761" spans="1:8" x14ac:dyDescent="0.35">
      <c r="A761" s="56" t="s">
        <v>2858</v>
      </c>
      <c r="B761" s="56" t="s">
        <v>3050</v>
      </c>
      <c r="C761" s="56" t="s">
        <v>3051</v>
      </c>
      <c r="D761" s="39">
        <v>114.4</v>
      </c>
      <c r="E761" s="56" t="s">
        <v>3052</v>
      </c>
      <c r="F761" s="55" t="s">
        <v>3053</v>
      </c>
      <c r="G761" s="5">
        <f>IF(Estimation!$B$18="",0,IF(ISNUMBER(SEARCH(LOWER(Estimation!$B$18),F761)),1,0))</f>
        <v>0</v>
      </c>
      <c r="H761" s="5" t="str">
        <f>IF(G761=1,SUM($G$4:G761),"")</f>
        <v/>
      </c>
    </row>
    <row r="762" spans="1:8" x14ac:dyDescent="0.35">
      <c r="A762" s="56" t="s">
        <v>2858</v>
      </c>
      <c r="B762" s="56" t="s">
        <v>3054</v>
      </c>
      <c r="C762" s="56" t="s">
        <v>3055</v>
      </c>
      <c r="D762" s="39">
        <v>155.55000000000001</v>
      </c>
      <c r="E762" s="56" t="s">
        <v>3056</v>
      </c>
      <c r="F762" s="55" t="s">
        <v>3057</v>
      </c>
      <c r="G762" s="5">
        <f>IF(Estimation!$B$18="",0,IF(ISNUMBER(SEARCH(LOWER(Estimation!$B$18),F762)),1,0))</f>
        <v>0</v>
      </c>
      <c r="H762" s="5" t="str">
        <f>IF(G762=1,SUM($G$4:G762),"")</f>
        <v/>
      </c>
    </row>
    <row r="763" spans="1:8" x14ac:dyDescent="0.35">
      <c r="A763" s="56" t="s">
        <v>2858</v>
      </c>
      <c r="B763" s="56" t="s">
        <v>3058</v>
      </c>
      <c r="C763" s="56" t="s">
        <v>3059</v>
      </c>
      <c r="D763" s="39">
        <v>134.49</v>
      </c>
      <c r="E763" s="56" t="s">
        <v>3060</v>
      </c>
      <c r="F763" s="55" t="s">
        <v>3061</v>
      </c>
      <c r="G763" s="5">
        <f>IF(Estimation!$B$18="",0,IF(ISNUMBER(SEARCH(LOWER(Estimation!$B$18),F763)),1,0))</f>
        <v>0</v>
      </c>
      <c r="H763" s="5" t="str">
        <f>IF(G763=1,SUM($G$4:G763),"")</f>
        <v/>
      </c>
    </row>
    <row r="764" spans="1:8" x14ac:dyDescent="0.35">
      <c r="A764" s="56" t="s">
        <v>2858</v>
      </c>
      <c r="B764" s="56" t="s">
        <v>3062</v>
      </c>
      <c r="C764" s="56" t="s">
        <v>3063</v>
      </c>
      <c r="D764" s="39">
        <v>149.44</v>
      </c>
      <c r="E764" s="56" t="s">
        <v>3064</v>
      </c>
      <c r="F764" s="55" t="s">
        <v>3065</v>
      </c>
      <c r="G764" s="5">
        <f>IF(Estimation!$B$18="",0,IF(ISNUMBER(SEARCH(LOWER(Estimation!$B$18),F764)),1,0))</f>
        <v>0</v>
      </c>
      <c r="H764" s="5" t="str">
        <f>IF(G764=1,SUM($G$4:G764),"")</f>
        <v/>
      </c>
    </row>
    <row r="765" spans="1:8" x14ac:dyDescent="0.35">
      <c r="A765" s="56" t="s">
        <v>2858</v>
      </c>
      <c r="B765" s="56" t="s">
        <v>3066</v>
      </c>
      <c r="C765" s="56" t="s">
        <v>3067</v>
      </c>
      <c r="D765" s="39">
        <v>41.84</v>
      </c>
      <c r="E765" s="56" t="s">
        <v>3068</v>
      </c>
      <c r="F765" s="55" t="s">
        <v>3069</v>
      </c>
      <c r="G765" s="5">
        <f>IF(Estimation!$B$18="",0,IF(ISNUMBER(SEARCH(LOWER(Estimation!$B$18),F765)),1,0))</f>
        <v>0</v>
      </c>
      <c r="H765" s="5" t="str">
        <f>IF(G765=1,SUM($G$4:G765),"")</f>
        <v/>
      </c>
    </row>
    <row r="766" spans="1:8" x14ac:dyDescent="0.35">
      <c r="A766" s="56" t="s">
        <v>2858</v>
      </c>
      <c r="B766" s="56" t="s">
        <v>3070</v>
      </c>
      <c r="C766" s="56" t="s">
        <v>3071</v>
      </c>
      <c r="D766" s="39">
        <v>56.51</v>
      </c>
      <c r="E766" s="56" t="s">
        <v>3072</v>
      </c>
      <c r="F766" s="55" t="s">
        <v>3073</v>
      </c>
      <c r="G766" s="5">
        <f>IF(Estimation!$B$18="",0,IF(ISNUMBER(SEARCH(LOWER(Estimation!$B$18),F766)),1,0))</f>
        <v>0</v>
      </c>
      <c r="H766" s="5" t="str">
        <f>IF(G766=1,SUM($G$4:G766),"")</f>
        <v/>
      </c>
    </row>
    <row r="767" spans="1:8" x14ac:dyDescent="0.35">
      <c r="A767" s="56" t="s">
        <v>2858</v>
      </c>
      <c r="B767" s="56" t="s">
        <v>3074</v>
      </c>
      <c r="C767" s="56" t="s">
        <v>3075</v>
      </c>
      <c r="D767" s="39">
        <v>22.82</v>
      </c>
      <c r="E767" s="56" t="s">
        <v>3076</v>
      </c>
      <c r="F767" s="55" t="s">
        <v>3077</v>
      </c>
      <c r="G767" s="5">
        <f>IF(Estimation!$B$18="",0,IF(ISNUMBER(SEARCH(LOWER(Estimation!$B$18),F767)),1,0))</f>
        <v>0</v>
      </c>
      <c r="H767" s="5" t="str">
        <f>IF(G767=1,SUM($G$4:G767),"")</f>
        <v/>
      </c>
    </row>
    <row r="768" spans="1:8" x14ac:dyDescent="0.35">
      <c r="A768" s="56" t="s">
        <v>2858</v>
      </c>
      <c r="B768" s="56" t="s">
        <v>3078</v>
      </c>
      <c r="C768" s="56" t="s">
        <v>3079</v>
      </c>
      <c r="D768" s="39">
        <v>24.99</v>
      </c>
      <c r="E768" s="56" t="s">
        <v>3080</v>
      </c>
      <c r="F768" s="55" t="s">
        <v>3081</v>
      </c>
      <c r="G768" s="5">
        <f>IF(Estimation!$B$18="",0,IF(ISNUMBER(SEARCH(LOWER(Estimation!$B$18),F768)),1,0))</f>
        <v>0</v>
      </c>
      <c r="H768" s="5" t="str">
        <f>IF(G768=1,SUM($G$4:G768),"")</f>
        <v/>
      </c>
    </row>
    <row r="769" spans="1:8" x14ac:dyDescent="0.35">
      <c r="A769" s="56" t="s">
        <v>2858</v>
      </c>
      <c r="B769" s="56" t="s">
        <v>3082</v>
      </c>
      <c r="C769" s="56" t="s">
        <v>3083</v>
      </c>
      <c r="D769" s="39">
        <v>33.71</v>
      </c>
      <c r="E769" s="56" t="s">
        <v>3084</v>
      </c>
      <c r="F769" s="55" t="s">
        <v>3085</v>
      </c>
      <c r="G769" s="5">
        <f>IF(Estimation!$B$18="",0,IF(ISNUMBER(SEARCH(LOWER(Estimation!$B$18),F769)),1,0))</f>
        <v>0</v>
      </c>
      <c r="H769" s="5" t="str">
        <f>IF(G769=1,SUM($G$4:G769),"")</f>
        <v/>
      </c>
    </row>
    <row r="770" spans="1:8" x14ac:dyDescent="0.35">
      <c r="A770" s="56" t="s">
        <v>2858</v>
      </c>
      <c r="B770" s="56" t="s">
        <v>3086</v>
      </c>
      <c r="C770" s="56" t="s">
        <v>3087</v>
      </c>
      <c r="D770" s="39">
        <v>33.71</v>
      </c>
      <c r="E770" s="56" t="s">
        <v>3088</v>
      </c>
      <c r="F770" s="55" t="s">
        <v>3089</v>
      </c>
      <c r="G770" s="5">
        <f>IF(Estimation!$B$18="",0,IF(ISNUMBER(SEARCH(LOWER(Estimation!$B$18),F770)),1,0))</f>
        <v>0</v>
      </c>
      <c r="H770" s="5" t="str">
        <f>IF(G770=1,SUM($G$4:G770),"")</f>
        <v/>
      </c>
    </row>
    <row r="771" spans="1:8" x14ac:dyDescent="0.35">
      <c r="A771" s="56" t="s">
        <v>2858</v>
      </c>
      <c r="B771" s="56" t="s">
        <v>3090</v>
      </c>
      <c r="C771" s="56" t="s">
        <v>3091</v>
      </c>
      <c r="D771" s="39">
        <v>20.22</v>
      </c>
      <c r="E771" s="56" t="s">
        <v>3092</v>
      </c>
      <c r="F771" s="55" t="s">
        <v>3093</v>
      </c>
      <c r="G771" s="5">
        <f>IF(Estimation!$B$18="",0,IF(ISNUMBER(SEARCH(LOWER(Estimation!$B$18),F771)),1,0))</f>
        <v>0</v>
      </c>
      <c r="H771" s="5" t="str">
        <f>IF(G771=1,SUM($G$4:G771),"")</f>
        <v/>
      </c>
    </row>
    <row r="772" spans="1:8" x14ac:dyDescent="0.35">
      <c r="A772" s="56" t="s">
        <v>2858</v>
      </c>
      <c r="B772" s="56" t="s">
        <v>3094</v>
      </c>
      <c r="C772" s="56" t="s">
        <v>3095</v>
      </c>
      <c r="D772" s="39">
        <v>13.24</v>
      </c>
      <c r="E772" s="56" t="s">
        <v>3096</v>
      </c>
      <c r="F772" s="55" t="s">
        <v>3097</v>
      </c>
      <c r="G772" s="5">
        <f>IF(Estimation!$B$18="",0,IF(ISNUMBER(SEARCH(LOWER(Estimation!$B$18),F772)),1,0))</f>
        <v>0</v>
      </c>
      <c r="H772" s="5" t="str">
        <f>IF(G772=1,SUM($G$4:G772),"")</f>
        <v/>
      </c>
    </row>
    <row r="773" spans="1:8" x14ac:dyDescent="0.35">
      <c r="A773" s="56" t="s">
        <v>2858</v>
      </c>
      <c r="B773" s="56" t="s">
        <v>3098</v>
      </c>
      <c r="C773" s="56" t="s">
        <v>3099</v>
      </c>
      <c r="D773" s="39">
        <v>20.22</v>
      </c>
      <c r="E773" s="56" t="s">
        <v>3100</v>
      </c>
      <c r="F773" s="55" t="s">
        <v>3101</v>
      </c>
      <c r="G773" s="5">
        <f>IF(Estimation!$B$18="",0,IF(ISNUMBER(SEARCH(LOWER(Estimation!$B$18),F773)),1,0))</f>
        <v>0</v>
      </c>
      <c r="H773" s="5" t="str">
        <f>IF(G773=1,SUM($G$4:G773),"")</f>
        <v/>
      </c>
    </row>
    <row r="774" spans="1:8" x14ac:dyDescent="0.35">
      <c r="A774" s="56" t="s">
        <v>2858</v>
      </c>
      <c r="B774" s="56" t="s">
        <v>3102</v>
      </c>
      <c r="C774" s="56" t="s">
        <v>3103</v>
      </c>
      <c r="D774" s="39">
        <v>13.01</v>
      </c>
      <c r="E774" s="56" t="s">
        <v>3104</v>
      </c>
      <c r="F774" s="55" t="s">
        <v>3105</v>
      </c>
      <c r="G774" s="5">
        <f>IF(Estimation!$B$18="",0,IF(ISNUMBER(SEARCH(LOWER(Estimation!$B$18),F774)),1,0))</f>
        <v>0</v>
      </c>
      <c r="H774" s="5" t="str">
        <f>IF(G774=1,SUM($G$4:G774),"")</f>
        <v/>
      </c>
    </row>
    <row r="775" spans="1:8" x14ac:dyDescent="0.35">
      <c r="A775" s="56" t="s">
        <v>2858</v>
      </c>
      <c r="B775" s="56" t="s">
        <v>3106</v>
      </c>
      <c r="C775" s="56" t="s">
        <v>3107</v>
      </c>
      <c r="D775" s="39">
        <v>4.38</v>
      </c>
      <c r="E775" s="56" t="s">
        <v>3108</v>
      </c>
      <c r="F775" s="55" t="s">
        <v>3109</v>
      </c>
      <c r="G775" s="5">
        <f>IF(Estimation!$B$18="",0,IF(ISNUMBER(SEARCH(LOWER(Estimation!$B$18),F775)),1,0))</f>
        <v>0</v>
      </c>
      <c r="H775" s="5" t="str">
        <f>IF(G775=1,SUM($G$4:G775),"")</f>
        <v/>
      </c>
    </row>
    <row r="776" spans="1:8" x14ac:dyDescent="0.35">
      <c r="A776" s="56" t="s">
        <v>2858</v>
      </c>
      <c r="B776" s="56" t="s">
        <v>3110</v>
      </c>
      <c r="C776" s="56" t="s">
        <v>3111</v>
      </c>
      <c r="D776" s="39">
        <v>6.9</v>
      </c>
      <c r="E776" s="56" t="s">
        <v>3112</v>
      </c>
      <c r="F776" s="55" t="s">
        <v>3113</v>
      </c>
      <c r="G776" s="5">
        <f>IF(Estimation!$B$18="",0,IF(ISNUMBER(SEARCH(LOWER(Estimation!$B$18),F776)),1,0))</f>
        <v>0</v>
      </c>
      <c r="H776" s="5" t="str">
        <f>IF(G776=1,SUM($G$4:G776),"")</f>
        <v/>
      </c>
    </row>
    <row r="777" spans="1:8" x14ac:dyDescent="0.35">
      <c r="A777" s="56" t="s">
        <v>2858</v>
      </c>
      <c r="B777" s="56" t="s">
        <v>3114</v>
      </c>
      <c r="C777" s="56" t="s">
        <v>3115</v>
      </c>
      <c r="D777" s="39">
        <v>1102.6600000000001</v>
      </c>
      <c r="E777" s="56" t="s">
        <v>3116</v>
      </c>
      <c r="F777" s="55" t="s">
        <v>3117</v>
      </c>
      <c r="G777" s="5">
        <f>IF(Estimation!$B$18="",0,IF(ISNUMBER(SEARCH(LOWER(Estimation!$B$18),F777)),1,0))</f>
        <v>0</v>
      </c>
      <c r="H777" s="5" t="str">
        <f>IF(G777=1,SUM($G$4:G777),"")</f>
        <v/>
      </c>
    </row>
    <row r="778" spans="1:8" x14ac:dyDescent="0.35">
      <c r="A778" s="56" t="s">
        <v>2858</v>
      </c>
      <c r="B778" s="56" t="s">
        <v>3118</v>
      </c>
      <c r="C778" s="56" t="s">
        <v>3119</v>
      </c>
      <c r="D778" s="39">
        <v>101.59</v>
      </c>
      <c r="E778" s="56" t="s">
        <v>3120</v>
      </c>
      <c r="F778" s="55" t="s">
        <v>3121</v>
      </c>
      <c r="G778" s="5">
        <f>IF(Estimation!$B$18="",0,IF(ISNUMBER(SEARCH(LOWER(Estimation!$B$18),F778)),1,0))</f>
        <v>0</v>
      </c>
      <c r="H778" s="5" t="str">
        <f>IF(G778=1,SUM($G$4:G778),"")</f>
        <v/>
      </c>
    </row>
    <row r="779" spans="1:8" x14ac:dyDescent="0.35">
      <c r="A779" s="56" t="s">
        <v>2858</v>
      </c>
      <c r="B779" s="56" t="s">
        <v>3122</v>
      </c>
      <c r="C779" s="56" t="s">
        <v>3123</v>
      </c>
      <c r="D779" s="39">
        <v>193.51</v>
      </c>
      <c r="E779" s="56" t="s">
        <v>3124</v>
      </c>
      <c r="F779" s="55" t="s">
        <v>3125</v>
      </c>
      <c r="G779" s="5">
        <f>IF(Estimation!$B$18="",0,IF(ISNUMBER(SEARCH(LOWER(Estimation!$B$18),F779)),1,0))</f>
        <v>0</v>
      </c>
      <c r="H779" s="5" t="str">
        <f>IF(G779=1,SUM($G$4:G779),"")</f>
        <v/>
      </c>
    </row>
    <row r="780" spans="1:8" x14ac:dyDescent="0.35">
      <c r="A780" s="56" t="s">
        <v>2858</v>
      </c>
      <c r="B780" s="56" t="s">
        <v>3126</v>
      </c>
      <c r="C780" s="56" t="s">
        <v>3127</v>
      </c>
      <c r="D780" s="39">
        <v>12.61</v>
      </c>
      <c r="E780" s="56" t="s">
        <v>3128</v>
      </c>
      <c r="F780" s="55" t="s">
        <v>3129</v>
      </c>
      <c r="G780" s="5">
        <f>IF(Estimation!$B$18="",0,IF(ISNUMBER(SEARCH(LOWER(Estimation!$B$18),F780)),1,0))</f>
        <v>0</v>
      </c>
      <c r="H780" s="5" t="str">
        <f>IF(G780=1,SUM($G$4:G780),"")</f>
        <v/>
      </c>
    </row>
    <row r="781" spans="1:8" x14ac:dyDescent="0.35">
      <c r="A781" s="56" t="s">
        <v>2858</v>
      </c>
      <c r="B781" s="56" t="s">
        <v>3130</v>
      </c>
      <c r="C781" s="56" t="s">
        <v>3131</v>
      </c>
      <c r="D781" s="39">
        <v>12.61</v>
      </c>
      <c r="E781" s="56" t="s">
        <v>3132</v>
      </c>
      <c r="F781" s="55" t="s">
        <v>3133</v>
      </c>
      <c r="G781" s="5">
        <f>IF(Estimation!$B$18="",0,IF(ISNUMBER(SEARCH(LOWER(Estimation!$B$18),F781)),1,0))</f>
        <v>0</v>
      </c>
      <c r="H781" s="5" t="str">
        <f>IF(G781=1,SUM($G$4:G781),"")</f>
        <v/>
      </c>
    </row>
    <row r="782" spans="1:8" x14ac:dyDescent="0.35">
      <c r="A782" s="56" t="s">
        <v>2858</v>
      </c>
      <c r="B782" s="56" t="s">
        <v>3134</v>
      </c>
      <c r="C782" s="56" t="s">
        <v>3135</v>
      </c>
      <c r="D782" s="39">
        <v>40.020000000000003</v>
      </c>
      <c r="E782" s="56" t="s">
        <v>3136</v>
      </c>
      <c r="F782" s="55" t="s">
        <v>3137</v>
      </c>
      <c r="G782" s="5">
        <f>IF(Estimation!$B$18="",0,IF(ISNUMBER(SEARCH(LOWER(Estimation!$B$18),F782)),1,0))</f>
        <v>0</v>
      </c>
      <c r="H782" s="5" t="str">
        <f>IF(G782=1,SUM($G$4:G782),"")</f>
        <v/>
      </c>
    </row>
    <row r="783" spans="1:8" x14ac:dyDescent="0.35">
      <c r="A783" s="56" t="s">
        <v>2858</v>
      </c>
      <c r="B783" s="56" t="s">
        <v>3138</v>
      </c>
      <c r="C783" s="56" t="s">
        <v>3139</v>
      </c>
      <c r="D783" s="39">
        <v>14.3</v>
      </c>
      <c r="E783" s="56" t="s">
        <v>3140</v>
      </c>
      <c r="F783" s="55" t="s">
        <v>3141</v>
      </c>
      <c r="G783" s="5">
        <f>IF(Estimation!$B$18="",0,IF(ISNUMBER(SEARCH(LOWER(Estimation!$B$18),F783)),1,0))</f>
        <v>0</v>
      </c>
      <c r="H783" s="5" t="str">
        <f>IF(G783=1,SUM($G$4:G783),"")</f>
        <v/>
      </c>
    </row>
    <row r="784" spans="1:8" x14ac:dyDescent="0.35">
      <c r="A784" s="56" t="s">
        <v>2858</v>
      </c>
      <c r="B784" s="56" t="s">
        <v>3142</v>
      </c>
      <c r="C784" s="56" t="s">
        <v>3143</v>
      </c>
      <c r="D784" s="39">
        <v>52.17</v>
      </c>
      <c r="E784" s="56" t="s">
        <v>3144</v>
      </c>
      <c r="F784" s="55" t="s">
        <v>3145</v>
      </c>
      <c r="G784" s="5">
        <f>IF(Estimation!$B$18="",0,IF(ISNUMBER(SEARCH(LOWER(Estimation!$B$18),F784)),1,0))</f>
        <v>0</v>
      </c>
      <c r="H784" s="5" t="str">
        <f>IF(G784=1,SUM($G$4:G784),"")</f>
        <v/>
      </c>
    </row>
    <row r="785" spans="1:8" x14ac:dyDescent="0.35">
      <c r="A785" s="56" t="s">
        <v>2858</v>
      </c>
      <c r="B785" s="56" t="s">
        <v>3146</v>
      </c>
      <c r="C785" s="56" t="s">
        <v>3147</v>
      </c>
      <c r="D785" s="39">
        <v>29.89</v>
      </c>
      <c r="E785" s="56" t="s">
        <v>3148</v>
      </c>
      <c r="F785" s="55" t="s">
        <v>3149</v>
      </c>
      <c r="G785" s="5">
        <f>IF(Estimation!$B$18="",0,IF(ISNUMBER(SEARCH(LOWER(Estimation!$B$18),F785)),1,0))</f>
        <v>0</v>
      </c>
      <c r="H785" s="5" t="str">
        <f>IF(G785=1,SUM($G$4:G785),"")</f>
        <v/>
      </c>
    </row>
    <row r="786" spans="1:8" x14ac:dyDescent="0.35">
      <c r="A786" s="56" t="s">
        <v>2858</v>
      </c>
      <c r="B786" s="56" t="s">
        <v>3150</v>
      </c>
      <c r="C786" s="56" t="s">
        <v>3151</v>
      </c>
      <c r="D786" s="39">
        <v>224.14</v>
      </c>
      <c r="E786" s="56" t="s">
        <v>3152</v>
      </c>
      <c r="F786" s="55" t="s">
        <v>3153</v>
      </c>
      <c r="G786" s="5">
        <f>IF(Estimation!$B$18="",0,IF(ISNUMBER(SEARCH(LOWER(Estimation!$B$18),F786)),1,0))</f>
        <v>0</v>
      </c>
      <c r="H786" s="5" t="str">
        <f>IF(G786=1,SUM($G$4:G786),"")</f>
        <v/>
      </c>
    </row>
    <row r="787" spans="1:8" x14ac:dyDescent="0.35">
      <c r="A787" s="56" t="s">
        <v>2858</v>
      </c>
      <c r="B787" s="56" t="s">
        <v>3154</v>
      </c>
      <c r="C787" s="56" t="s">
        <v>3155</v>
      </c>
      <c r="D787" s="39">
        <v>597.72</v>
      </c>
      <c r="E787" s="56" t="s">
        <v>3156</v>
      </c>
      <c r="F787" s="55" t="s">
        <v>3157</v>
      </c>
      <c r="G787" s="5">
        <f>IF(Estimation!$B$18="",0,IF(ISNUMBER(SEARCH(LOWER(Estimation!$B$18),F787)),1,0))</f>
        <v>0</v>
      </c>
      <c r="H787" s="5" t="str">
        <f>IF(G787=1,SUM($G$4:G787),"")</f>
        <v/>
      </c>
    </row>
    <row r="788" spans="1:8" x14ac:dyDescent="0.35">
      <c r="A788" s="56" t="s">
        <v>2858</v>
      </c>
      <c r="B788" s="56" t="s">
        <v>3158</v>
      </c>
      <c r="C788" s="56" t="s">
        <v>3159</v>
      </c>
      <c r="D788" s="39">
        <v>29.89</v>
      </c>
      <c r="E788" s="56" t="s">
        <v>3160</v>
      </c>
      <c r="F788" s="55" t="s">
        <v>3161</v>
      </c>
      <c r="G788" s="5">
        <f>IF(Estimation!$B$18="",0,IF(ISNUMBER(SEARCH(LOWER(Estimation!$B$18),F788)),1,0))</f>
        <v>0</v>
      </c>
      <c r="H788" s="5" t="str">
        <f>IF(G788=1,SUM($G$4:G788),"")</f>
        <v/>
      </c>
    </row>
    <row r="789" spans="1:8" x14ac:dyDescent="0.35">
      <c r="A789" s="56" t="s">
        <v>2858</v>
      </c>
      <c r="B789" s="56" t="s">
        <v>3162</v>
      </c>
      <c r="C789" s="56" t="s">
        <v>3163</v>
      </c>
      <c r="D789" s="39">
        <v>15.25</v>
      </c>
      <c r="E789" s="56" t="s">
        <v>3164</v>
      </c>
      <c r="F789" s="55" t="s">
        <v>3165</v>
      </c>
      <c r="G789" s="5">
        <f>IF(Estimation!$B$18="",0,IF(ISNUMBER(SEARCH(LOWER(Estimation!$B$18),F789)),1,0))</f>
        <v>0</v>
      </c>
      <c r="H789" s="5" t="str">
        <f>IF(G789=1,SUM($G$4:G789),"")</f>
        <v/>
      </c>
    </row>
    <row r="790" spans="1:8" x14ac:dyDescent="0.35">
      <c r="A790" s="56" t="s">
        <v>2858</v>
      </c>
      <c r="B790" s="56" t="s">
        <v>3166</v>
      </c>
      <c r="C790" s="56" t="s">
        <v>3167</v>
      </c>
      <c r="D790" s="39">
        <v>44.82</v>
      </c>
      <c r="E790" s="56" t="s">
        <v>3168</v>
      </c>
      <c r="F790" s="55" t="s">
        <v>3169</v>
      </c>
      <c r="G790" s="5">
        <f>IF(Estimation!$B$18="",0,IF(ISNUMBER(SEARCH(LOWER(Estimation!$B$18),F790)),1,0))</f>
        <v>0</v>
      </c>
      <c r="H790" s="5" t="str">
        <f>IF(G790=1,SUM($G$4:G790),"")</f>
        <v/>
      </c>
    </row>
    <row r="791" spans="1:8" x14ac:dyDescent="0.35">
      <c r="A791" s="56" t="s">
        <v>2858</v>
      </c>
      <c r="B791" s="56" t="s">
        <v>3170</v>
      </c>
      <c r="C791" s="56" t="s">
        <v>3171</v>
      </c>
      <c r="D791" s="39">
        <v>298.85000000000002</v>
      </c>
      <c r="E791" s="56" t="s">
        <v>3172</v>
      </c>
      <c r="F791" s="55" t="s">
        <v>3173</v>
      </c>
      <c r="G791" s="5">
        <f>IF(Estimation!$B$18="",0,IF(ISNUMBER(SEARCH(LOWER(Estimation!$B$18),F791)),1,0))</f>
        <v>0</v>
      </c>
      <c r="H791" s="5" t="str">
        <f>IF(G791=1,SUM($G$4:G791),"")</f>
        <v/>
      </c>
    </row>
    <row r="792" spans="1:8" x14ac:dyDescent="0.35">
      <c r="A792" s="56" t="s">
        <v>2858</v>
      </c>
      <c r="B792" s="56" t="s">
        <v>3174</v>
      </c>
      <c r="C792" s="56" t="s">
        <v>3175</v>
      </c>
      <c r="D792" s="39">
        <v>41.84</v>
      </c>
      <c r="E792" s="56" t="s">
        <v>3176</v>
      </c>
      <c r="F792" s="55" t="s">
        <v>3177</v>
      </c>
      <c r="G792" s="5">
        <f>IF(Estimation!$B$18="",0,IF(ISNUMBER(SEARCH(LOWER(Estimation!$B$18),F792)),1,0))</f>
        <v>0</v>
      </c>
      <c r="H792" s="5" t="str">
        <f>IF(G792=1,SUM($G$4:G792),"")</f>
        <v/>
      </c>
    </row>
    <row r="793" spans="1:8" x14ac:dyDescent="0.35">
      <c r="A793" s="56" t="s">
        <v>2858</v>
      </c>
      <c r="B793" s="56" t="s">
        <v>3178</v>
      </c>
      <c r="C793" s="56" t="s">
        <v>3179</v>
      </c>
      <c r="D793" s="39">
        <v>68.02</v>
      </c>
      <c r="E793" s="56" t="s">
        <v>3180</v>
      </c>
      <c r="F793" s="55" t="s">
        <v>3181</v>
      </c>
      <c r="G793" s="5">
        <f>IF(Estimation!$B$18="",0,IF(ISNUMBER(SEARCH(LOWER(Estimation!$B$18),F793)),1,0))</f>
        <v>0</v>
      </c>
      <c r="H793" s="5" t="str">
        <f>IF(G793=1,SUM($G$4:G793),"")</f>
        <v/>
      </c>
    </row>
    <row r="794" spans="1:8" x14ac:dyDescent="0.35">
      <c r="A794" s="56" t="s">
        <v>2858</v>
      </c>
      <c r="B794" s="56" t="s">
        <v>3182</v>
      </c>
      <c r="C794" s="56" t="s">
        <v>3183</v>
      </c>
      <c r="D794" s="39">
        <v>40.020000000000003</v>
      </c>
      <c r="E794" s="56" t="s">
        <v>3184</v>
      </c>
      <c r="F794" s="55" t="s">
        <v>3185</v>
      </c>
      <c r="G794" s="5">
        <f>IF(Estimation!$B$18="",0,IF(ISNUMBER(SEARCH(LOWER(Estimation!$B$18),F794)),1,0))</f>
        <v>0</v>
      </c>
      <c r="H794" s="5" t="str">
        <f>IF(G794=1,SUM($G$4:G794),"")</f>
        <v/>
      </c>
    </row>
    <row r="795" spans="1:8" x14ac:dyDescent="0.35">
      <c r="A795" s="56" t="s">
        <v>2858</v>
      </c>
      <c r="B795" s="56" t="s">
        <v>3186</v>
      </c>
      <c r="C795" s="56" t="s">
        <v>3187</v>
      </c>
      <c r="D795" s="39">
        <v>109.2</v>
      </c>
      <c r="E795" s="56" t="s">
        <v>3188</v>
      </c>
      <c r="F795" s="55" t="s">
        <v>3189</v>
      </c>
      <c r="G795" s="5">
        <f>IF(Estimation!$B$18="",0,IF(ISNUMBER(SEARCH(LOWER(Estimation!$B$18),F795)),1,0))</f>
        <v>0</v>
      </c>
      <c r="H795" s="5" t="str">
        <f>IF(G795=1,SUM($G$4:G795),"")</f>
        <v/>
      </c>
    </row>
    <row r="796" spans="1:8" x14ac:dyDescent="0.35">
      <c r="A796" s="56" t="s">
        <v>2858</v>
      </c>
      <c r="B796" s="56" t="s">
        <v>3190</v>
      </c>
      <c r="C796" s="56" t="s">
        <v>3191</v>
      </c>
      <c r="D796" s="39">
        <v>140.38999999999999</v>
      </c>
      <c r="E796" s="56" t="s">
        <v>3192</v>
      </c>
      <c r="F796" s="55" t="s">
        <v>3193</v>
      </c>
      <c r="G796" s="5">
        <f>IF(Estimation!$B$18="",0,IF(ISNUMBER(SEARCH(LOWER(Estimation!$B$18),F796)),1,0))</f>
        <v>0</v>
      </c>
      <c r="H796" s="5" t="str">
        <f>IF(G796=1,SUM($G$4:G796),"")</f>
        <v/>
      </c>
    </row>
    <row r="797" spans="1:8" x14ac:dyDescent="0.35">
      <c r="A797" s="56" t="s">
        <v>2858</v>
      </c>
      <c r="B797" s="56" t="s">
        <v>3194</v>
      </c>
      <c r="C797" s="56" t="s">
        <v>3195</v>
      </c>
      <c r="D797" s="39">
        <v>128.71</v>
      </c>
      <c r="E797" s="56" t="s">
        <v>3196</v>
      </c>
      <c r="F797" s="55" t="s">
        <v>3197</v>
      </c>
      <c r="G797" s="5">
        <f>IF(Estimation!$B$18="",0,IF(ISNUMBER(SEARCH(LOWER(Estimation!$B$18),F797)),1,0))</f>
        <v>0</v>
      </c>
      <c r="H797" s="5" t="str">
        <f>IF(G797=1,SUM($G$4:G797),"")</f>
        <v/>
      </c>
    </row>
    <row r="798" spans="1:8" x14ac:dyDescent="0.35">
      <c r="A798" s="56" t="s">
        <v>2858</v>
      </c>
      <c r="B798" s="56" t="s">
        <v>3198</v>
      </c>
      <c r="C798" s="56" t="s">
        <v>3199</v>
      </c>
      <c r="D798" s="39">
        <v>150.80000000000001</v>
      </c>
      <c r="E798" s="56" t="s">
        <v>3200</v>
      </c>
      <c r="F798" s="55" t="s">
        <v>3201</v>
      </c>
      <c r="G798" s="5">
        <f>IF(Estimation!$B$18="",0,IF(ISNUMBER(SEARCH(LOWER(Estimation!$B$18),F798)),1,0))</f>
        <v>0</v>
      </c>
      <c r="H798" s="5" t="str">
        <f>IF(G798=1,SUM($G$4:G798),"")</f>
        <v/>
      </c>
    </row>
    <row r="799" spans="1:8" x14ac:dyDescent="0.35">
      <c r="A799" s="56" t="s">
        <v>2858</v>
      </c>
      <c r="B799" s="56" t="s">
        <v>3202</v>
      </c>
      <c r="C799" s="56" t="s">
        <v>3203</v>
      </c>
      <c r="D799" s="39">
        <v>157.30000000000001</v>
      </c>
      <c r="E799" s="56" t="s">
        <v>3204</v>
      </c>
      <c r="F799" s="55" t="s">
        <v>3205</v>
      </c>
      <c r="G799" s="5">
        <f>IF(Estimation!$B$18="",0,IF(ISNUMBER(SEARCH(LOWER(Estimation!$B$18),F799)),1,0))</f>
        <v>0</v>
      </c>
      <c r="H799" s="5" t="str">
        <f>IF(G799=1,SUM($G$4:G799),"")</f>
        <v/>
      </c>
    </row>
    <row r="800" spans="1:8" x14ac:dyDescent="0.35">
      <c r="A800" s="56" t="s">
        <v>2858</v>
      </c>
      <c r="B800" s="56" t="s">
        <v>3206</v>
      </c>
      <c r="C800" s="56" t="s">
        <v>3207</v>
      </c>
      <c r="D800" s="39">
        <v>34.659999999999997</v>
      </c>
      <c r="E800" s="56" t="s">
        <v>3208</v>
      </c>
      <c r="F800" s="55" t="s">
        <v>3209</v>
      </c>
      <c r="G800" s="5">
        <f>IF(Estimation!$B$18="",0,IF(ISNUMBER(SEARCH(LOWER(Estimation!$B$18),F800)),1,0))</f>
        <v>0</v>
      </c>
      <c r="H800" s="5" t="str">
        <f>IF(G800=1,SUM($G$4:G800),"")</f>
        <v/>
      </c>
    </row>
    <row r="801" spans="1:8" x14ac:dyDescent="0.35">
      <c r="A801" s="56" t="s">
        <v>2858</v>
      </c>
      <c r="B801" s="56" t="s">
        <v>3210</v>
      </c>
      <c r="C801" s="56" t="s">
        <v>3211</v>
      </c>
      <c r="D801" s="39">
        <v>367.67</v>
      </c>
      <c r="E801" s="56" t="s">
        <v>3212</v>
      </c>
      <c r="F801" s="55" t="s">
        <v>3213</v>
      </c>
      <c r="G801" s="5">
        <f>IF(Estimation!$B$18="",0,IF(ISNUMBER(SEARCH(LOWER(Estimation!$B$18),F801)),1,0))</f>
        <v>0</v>
      </c>
      <c r="H801" s="5" t="str">
        <f>IF(G801=1,SUM($G$4:G801),"")</f>
        <v/>
      </c>
    </row>
    <row r="802" spans="1:8" x14ac:dyDescent="0.35">
      <c r="A802" s="56" t="s">
        <v>2858</v>
      </c>
      <c r="B802" s="56" t="s">
        <v>3214</v>
      </c>
      <c r="C802" s="56" t="s">
        <v>3215</v>
      </c>
      <c r="D802" s="39">
        <v>199.55</v>
      </c>
      <c r="E802" s="56" t="s">
        <v>3216</v>
      </c>
      <c r="F802" s="55" t="s">
        <v>3217</v>
      </c>
      <c r="G802" s="5">
        <f>IF(Estimation!$B$18="",0,IF(ISNUMBER(SEARCH(LOWER(Estimation!$B$18),F802)),1,0))</f>
        <v>0</v>
      </c>
      <c r="H802" s="5" t="str">
        <f>IF(G802=1,SUM($G$4:G802),"")</f>
        <v/>
      </c>
    </row>
    <row r="803" spans="1:8" x14ac:dyDescent="0.35">
      <c r="A803" s="56" t="s">
        <v>2858</v>
      </c>
      <c r="B803" s="56" t="s">
        <v>3218</v>
      </c>
      <c r="C803" s="56" t="s">
        <v>3219</v>
      </c>
      <c r="D803" s="39">
        <v>66.53</v>
      </c>
      <c r="E803" s="56" t="s">
        <v>3220</v>
      </c>
      <c r="F803" s="55" t="s">
        <v>3221</v>
      </c>
      <c r="G803" s="5">
        <f>IF(Estimation!$B$18="",0,IF(ISNUMBER(SEARCH(LOWER(Estimation!$B$18),F803)),1,0))</f>
        <v>0</v>
      </c>
      <c r="H803" s="5" t="str">
        <f>IF(G803=1,SUM($G$4:G803),"")</f>
        <v/>
      </c>
    </row>
    <row r="804" spans="1:8" x14ac:dyDescent="0.35">
      <c r="A804" s="56" t="s">
        <v>2858</v>
      </c>
      <c r="B804" s="56" t="s">
        <v>3222</v>
      </c>
      <c r="C804" s="56" t="s">
        <v>3223</v>
      </c>
      <c r="D804" s="39">
        <v>97.8</v>
      </c>
      <c r="E804" s="56" t="s">
        <v>3224</v>
      </c>
      <c r="F804" s="55" t="s">
        <v>3225</v>
      </c>
      <c r="G804" s="5">
        <f>IF(Estimation!$B$18="",0,IF(ISNUMBER(SEARCH(LOWER(Estimation!$B$18),F804)),1,0))</f>
        <v>0</v>
      </c>
      <c r="H804" s="5" t="str">
        <f>IF(G804=1,SUM($G$4:G804),"")</f>
        <v/>
      </c>
    </row>
    <row r="805" spans="1:8" x14ac:dyDescent="0.35">
      <c r="A805" s="56" t="s">
        <v>2858</v>
      </c>
      <c r="B805" s="56" t="s">
        <v>3226</v>
      </c>
      <c r="C805" s="56" t="s">
        <v>3227</v>
      </c>
      <c r="D805" s="39">
        <v>98.62</v>
      </c>
      <c r="E805" s="56" t="s">
        <v>3228</v>
      </c>
      <c r="F805" s="55" t="s">
        <v>3229</v>
      </c>
      <c r="G805" s="5">
        <f>IF(Estimation!$B$18="",0,IF(ISNUMBER(SEARCH(LOWER(Estimation!$B$18),F805)),1,0))</f>
        <v>0</v>
      </c>
      <c r="H805" s="5" t="str">
        <f>IF(G805=1,SUM($G$4:G805),"")</f>
        <v/>
      </c>
    </row>
    <row r="806" spans="1:8" x14ac:dyDescent="0.35">
      <c r="A806" s="56" t="s">
        <v>2858</v>
      </c>
      <c r="B806" s="56" t="s">
        <v>3230</v>
      </c>
      <c r="C806" s="56" t="s">
        <v>3231</v>
      </c>
      <c r="D806" s="39">
        <v>141.29</v>
      </c>
      <c r="E806" s="56" t="s">
        <v>3232</v>
      </c>
      <c r="F806" s="55" t="s">
        <v>3233</v>
      </c>
      <c r="G806" s="5">
        <f>IF(Estimation!$B$18="",0,IF(ISNUMBER(SEARCH(LOWER(Estimation!$B$18),F806)),1,0))</f>
        <v>0</v>
      </c>
      <c r="H806" s="5" t="str">
        <f>IF(G806=1,SUM($G$4:G806),"")</f>
        <v/>
      </c>
    </row>
    <row r="807" spans="1:8" x14ac:dyDescent="0.35">
      <c r="A807" s="56" t="s">
        <v>2858</v>
      </c>
      <c r="B807" s="56" t="s">
        <v>3234</v>
      </c>
      <c r="C807" s="56" t="s">
        <v>3235</v>
      </c>
      <c r="D807" s="39">
        <v>110.59</v>
      </c>
      <c r="E807" s="56" t="s">
        <v>3236</v>
      </c>
      <c r="F807" s="55" t="s">
        <v>3237</v>
      </c>
      <c r="G807" s="5">
        <f>IF(Estimation!$B$18="",0,IF(ISNUMBER(SEARCH(LOWER(Estimation!$B$18),F807)),1,0))</f>
        <v>0</v>
      </c>
      <c r="H807" s="5" t="str">
        <f>IF(G807=1,SUM($G$4:G807),"")</f>
        <v/>
      </c>
    </row>
    <row r="808" spans="1:8" x14ac:dyDescent="0.35">
      <c r="A808" s="56" t="s">
        <v>2858</v>
      </c>
      <c r="B808" s="56" t="s">
        <v>3238</v>
      </c>
      <c r="C808" s="56" t="s">
        <v>3239</v>
      </c>
      <c r="D808" s="39">
        <v>10.33</v>
      </c>
      <c r="E808" s="56" t="s">
        <v>3240</v>
      </c>
      <c r="F808" s="55" t="s">
        <v>3241</v>
      </c>
      <c r="G808" s="5">
        <f>IF(Estimation!$B$18="",0,IF(ISNUMBER(SEARCH(LOWER(Estimation!$B$18),F808)),1,0))</f>
        <v>0</v>
      </c>
      <c r="H808" s="5" t="str">
        <f>IF(G808=1,SUM($G$4:G808),"")</f>
        <v/>
      </c>
    </row>
    <row r="809" spans="1:8" x14ac:dyDescent="0.35">
      <c r="A809" s="56" t="s">
        <v>2858</v>
      </c>
      <c r="B809" s="56" t="s">
        <v>3242</v>
      </c>
      <c r="C809" s="56" t="s">
        <v>3243</v>
      </c>
      <c r="D809" s="39">
        <v>29.89</v>
      </c>
      <c r="E809" s="56" t="s">
        <v>3244</v>
      </c>
      <c r="F809" s="55" t="s">
        <v>3245</v>
      </c>
      <c r="G809" s="5">
        <f>IF(Estimation!$B$18="",0,IF(ISNUMBER(SEARCH(LOWER(Estimation!$B$18),F809)),1,0))</f>
        <v>0</v>
      </c>
      <c r="H809" s="5" t="str">
        <f>IF(G809=1,SUM($G$4:G809),"")</f>
        <v/>
      </c>
    </row>
    <row r="810" spans="1:8" x14ac:dyDescent="0.35">
      <c r="A810" s="56" t="s">
        <v>2858</v>
      </c>
      <c r="B810" s="56" t="s">
        <v>3246</v>
      </c>
      <c r="C810" s="56" t="s">
        <v>3247</v>
      </c>
      <c r="D810" s="39">
        <v>143.46</v>
      </c>
      <c r="E810" s="56" t="s">
        <v>3248</v>
      </c>
      <c r="F810" s="55" t="s">
        <v>3249</v>
      </c>
      <c r="G810" s="5">
        <f>IF(Estimation!$B$18="",0,IF(ISNUMBER(SEARCH(LOWER(Estimation!$B$18),F810)),1,0))</f>
        <v>0</v>
      </c>
      <c r="H810" s="5" t="str">
        <f>IF(G810=1,SUM($G$4:G810),"")</f>
        <v/>
      </c>
    </row>
    <row r="811" spans="1:8" x14ac:dyDescent="0.35">
      <c r="A811" s="56" t="s">
        <v>2858</v>
      </c>
      <c r="B811" s="56" t="s">
        <v>3250</v>
      </c>
      <c r="C811" s="56" t="s">
        <v>3251</v>
      </c>
      <c r="D811" s="39">
        <v>149.44</v>
      </c>
      <c r="E811" s="56" t="s">
        <v>3252</v>
      </c>
      <c r="F811" s="55" t="s">
        <v>3253</v>
      </c>
      <c r="G811" s="5">
        <f>IF(Estimation!$B$18="",0,IF(ISNUMBER(SEARCH(LOWER(Estimation!$B$18),F811)),1,0))</f>
        <v>0</v>
      </c>
      <c r="H811" s="5" t="str">
        <f>IF(G811=1,SUM($G$4:G811),"")</f>
        <v/>
      </c>
    </row>
    <row r="812" spans="1:8" x14ac:dyDescent="0.35">
      <c r="A812" s="56" t="s">
        <v>2858</v>
      </c>
      <c r="B812" s="56" t="s">
        <v>3254</v>
      </c>
      <c r="C812" s="56" t="s">
        <v>3255</v>
      </c>
      <c r="D812" s="39">
        <v>16.12</v>
      </c>
      <c r="E812" s="56" t="s">
        <v>3256</v>
      </c>
      <c r="F812" s="55" t="s">
        <v>3257</v>
      </c>
      <c r="G812" s="5">
        <f>IF(Estimation!$B$18="",0,IF(ISNUMBER(SEARCH(LOWER(Estimation!$B$18),F812)),1,0))</f>
        <v>0</v>
      </c>
      <c r="H812" s="5" t="str">
        <f>IF(G812=1,SUM($G$4:G812),"")</f>
        <v/>
      </c>
    </row>
    <row r="813" spans="1:8" x14ac:dyDescent="0.35">
      <c r="A813" s="56" t="s">
        <v>2858</v>
      </c>
      <c r="B813" s="56" t="s">
        <v>3258</v>
      </c>
      <c r="C813" s="56" t="s">
        <v>3259</v>
      </c>
      <c r="D813" s="39">
        <v>149.44</v>
      </c>
      <c r="E813" s="56" t="s">
        <v>3260</v>
      </c>
      <c r="F813" s="55" t="s">
        <v>3261</v>
      </c>
      <c r="G813" s="5">
        <f>IF(Estimation!$B$18="",0,IF(ISNUMBER(SEARCH(LOWER(Estimation!$B$18),F813)),1,0))</f>
        <v>0</v>
      </c>
      <c r="H813" s="5" t="str">
        <f>IF(G813=1,SUM($G$4:G813),"")</f>
        <v/>
      </c>
    </row>
    <row r="814" spans="1:8" x14ac:dyDescent="0.35">
      <c r="A814" s="56" t="s">
        <v>2858</v>
      </c>
      <c r="B814" s="56" t="s">
        <v>3262</v>
      </c>
      <c r="C814" s="56" t="s">
        <v>3263</v>
      </c>
      <c r="D814" s="39">
        <v>154.81</v>
      </c>
      <c r="E814" s="56" t="s">
        <v>3264</v>
      </c>
      <c r="F814" s="55" t="s">
        <v>3265</v>
      </c>
      <c r="G814" s="5">
        <f>IF(Estimation!$B$18="",0,IF(ISNUMBER(SEARCH(LOWER(Estimation!$B$18),F814)),1,0))</f>
        <v>0</v>
      </c>
      <c r="H814" s="5" t="str">
        <f>IF(G814=1,SUM($G$4:G814),"")</f>
        <v/>
      </c>
    </row>
    <row r="815" spans="1:8" x14ac:dyDescent="0.35">
      <c r="A815" s="56" t="s">
        <v>2858</v>
      </c>
      <c r="B815" s="56" t="s">
        <v>3266</v>
      </c>
      <c r="C815" s="56" t="s">
        <v>3267</v>
      </c>
      <c r="D815" s="39">
        <v>234.98</v>
      </c>
      <c r="E815" s="56" t="s">
        <v>3268</v>
      </c>
      <c r="F815" s="55" t="s">
        <v>3269</v>
      </c>
      <c r="G815" s="5">
        <f>IF(Estimation!$B$18="",0,IF(ISNUMBER(SEARCH(LOWER(Estimation!$B$18),F815)),1,0))</f>
        <v>0</v>
      </c>
      <c r="H815" s="5" t="str">
        <f>IF(G815=1,SUM($G$4:G815),"")</f>
        <v/>
      </c>
    </row>
    <row r="816" spans="1:8" x14ac:dyDescent="0.35">
      <c r="A816" s="56" t="s">
        <v>2858</v>
      </c>
      <c r="B816" s="56" t="s">
        <v>3270</v>
      </c>
      <c r="C816" s="56" t="s">
        <v>3271</v>
      </c>
      <c r="D816" s="39">
        <v>217.46</v>
      </c>
      <c r="E816" s="56" t="s">
        <v>3272</v>
      </c>
      <c r="F816" s="55" t="s">
        <v>3273</v>
      </c>
      <c r="G816" s="5">
        <f>IF(Estimation!$B$18="",0,IF(ISNUMBER(SEARCH(LOWER(Estimation!$B$18),F816)),1,0))</f>
        <v>0</v>
      </c>
      <c r="H816" s="5" t="str">
        <f>IF(G816=1,SUM($G$4:G816),"")</f>
        <v/>
      </c>
    </row>
    <row r="817" spans="1:8" x14ac:dyDescent="0.35">
      <c r="A817" s="56" t="s">
        <v>2858</v>
      </c>
      <c r="B817" s="56" t="s">
        <v>3274</v>
      </c>
      <c r="C817" s="56" t="s">
        <v>3275</v>
      </c>
      <c r="D817" s="39">
        <v>140.99</v>
      </c>
      <c r="E817" s="56" t="s">
        <v>3276</v>
      </c>
      <c r="F817" s="55" t="s">
        <v>3277</v>
      </c>
      <c r="G817" s="5">
        <f>IF(Estimation!$B$18="",0,IF(ISNUMBER(SEARCH(LOWER(Estimation!$B$18),F817)),1,0))</f>
        <v>0</v>
      </c>
      <c r="H817" s="5" t="str">
        <f>IF(G817=1,SUM($G$4:G817),"")</f>
        <v/>
      </c>
    </row>
    <row r="818" spans="1:8" x14ac:dyDescent="0.35">
      <c r="A818" s="56" t="s">
        <v>2858</v>
      </c>
      <c r="B818" s="56" t="s">
        <v>3278</v>
      </c>
      <c r="C818" s="56" t="s">
        <v>3279</v>
      </c>
      <c r="D818" s="39">
        <v>11.06</v>
      </c>
      <c r="E818" s="56" t="s">
        <v>3280</v>
      </c>
      <c r="F818" s="55" t="s">
        <v>3281</v>
      </c>
      <c r="G818" s="5">
        <f>IF(Estimation!$B$18="",0,IF(ISNUMBER(SEARCH(LOWER(Estimation!$B$18),F818)),1,0))</f>
        <v>0</v>
      </c>
      <c r="H818" s="5" t="str">
        <f>IF(G818=1,SUM($G$4:G818),"")</f>
        <v/>
      </c>
    </row>
    <row r="819" spans="1:8" x14ac:dyDescent="0.35">
      <c r="A819" s="56" t="s">
        <v>2858</v>
      </c>
      <c r="B819" s="56" t="s">
        <v>3282</v>
      </c>
      <c r="C819" s="56" t="s">
        <v>3283</v>
      </c>
      <c r="D819" s="39">
        <v>185</v>
      </c>
      <c r="E819" s="56" t="s">
        <v>3284</v>
      </c>
      <c r="F819" s="55" t="s">
        <v>3285</v>
      </c>
      <c r="G819" s="5">
        <f>IF(Estimation!$B$18="",0,IF(ISNUMBER(SEARCH(LOWER(Estimation!$B$18),F819)),1,0))</f>
        <v>0</v>
      </c>
      <c r="H819" s="5" t="str">
        <f>IF(G819=1,SUM($G$4:G819),"")</f>
        <v/>
      </c>
    </row>
    <row r="820" spans="1:8" x14ac:dyDescent="0.35">
      <c r="A820" s="56" t="s">
        <v>2858</v>
      </c>
      <c r="B820" s="56" t="s">
        <v>3286</v>
      </c>
      <c r="C820" s="56" t="s">
        <v>3287</v>
      </c>
      <c r="D820" s="39">
        <v>197</v>
      </c>
      <c r="E820" s="56" t="s">
        <v>3288</v>
      </c>
      <c r="F820" s="55" t="s">
        <v>3289</v>
      </c>
      <c r="G820" s="5">
        <f>IF(Estimation!$B$18="",0,IF(ISNUMBER(SEARCH(LOWER(Estimation!$B$18),F820)),1,0))</f>
        <v>0</v>
      </c>
      <c r="H820" s="5" t="str">
        <f>IF(G820=1,SUM($G$4:G820),"")</f>
        <v/>
      </c>
    </row>
    <row r="821" spans="1:8" x14ac:dyDescent="0.35">
      <c r="A821" s="56" t="s">
        <v>2858</v>
      </c>
      <c r="B821" s="56" t="s">
        <v>3290</v>
      </c>
      <c r="C821" s="56" t="s">
        <v>3291</v>
      </c>
      <c r="D821" s="39">
        <v>17</v>
      </c>
      <c r="E821" s="56" t="s">
        <v>3292</v>
      </c>
      <c r="F821" s="55" t="s">
        <v>3293</v>
      </c>
      <c r="G821" s="5">
        <f>IF(Estimation!$B$18="",0,IF(ISNUMBER(SEARCH(LOWER(Estimation!$B$18),F821)),1,0))</f>
        <v>0</v>
      </c>
      <c r="H821" s="5" t="str">
        <f>IF(G821=1,SUM($G$4:G821),"")</f>
        <v/>
      </c>
    </row>
    <row r="822" spans="1:8" x14ac:dyDescent="0.35">
      <c r="A822" s="56" t="s">
        <v>2858</v>
      </c>
      <c r="B822" s="56" t="s">
        <v>3294</v>
      </c>
      <c r="C822" s="56" t="s">
        <v>3295</v>
      </c>
      <c r="D822" s="39">
        <v>66</v>
      </c>
      <c r="E822" s="56" t="s">
        <v>3296</v>
      </c>
      <c r="F822" s="55" t="s">
        <v>3297</v>
      </c>
      <c r="G822" s="5">
        <f>IF(Estimation!$B$18="",0,IF(ISNUMBER(SEARCH(LOWER(Estimation!$B$18),F822)),1,0))</f>
        <v>0</v>
      </c>
      <c r="H822" s="5" t="str">
        <f>IF(G822=1,SUM($G$4:G822),"")</f>
        <v/>
      </c>
    </row>
    <row r="823" spans="1:8" x14ac:dyDescent="0.35">
      <c r="A823" s="56" t="s">
        <v>2858</v>
      </c>
      <c r="B823" s="56" t="s">
        <v>3298</v>
      </c>
      <c r="C823" s="56" t="s">
        <v>3299</v>
      </c>
      <c r="D823" s="39">
        <v>55.29</v>
      </c>
      <c r="E823" s="56" t="s">
        <v>3300</v>
      </c>
      <c r="F823" s="55" t="s">
        <v>3301</v>
      </c>
      <c r="G823" s="5">
        <f>IF(Estimation!$B$18="",0,IF(ISNUMBER(SEARCH(LOWER(Estimation!$B$18),F823)),1,0))</f>
        <v>0</v>
      </c>
      <c r="H823" s="5" t="str">
        <f>IF(G823=1,SUM($G$4:G823),"")</f>
        <v/>
      </c>
    </row>
    <row r="824" spans="1:8" x14ac:dyDescent="0.35">
      <c r="A824" s="56" t="s">
        <v>2858</v>
      </c>
      <c r="B824" s="56" t="s">
        <v>3302</v>
      </c>
      <c r="C824" s="56" t="s">
        <v>3303</v>
      </c>
      <c r="D824" s="39">
        <v>13.58</v>
      </c>
      <c r="E824" s="56" t="s">
        <v>3304</v>
      </c>
      <c r="F824" s="55" t="s">
        <v>3305</v>
      </c>
      <c r="G824" s="5">
        <f>IF(Estimation!$B$18="",0,IF(ISNUMBER(SEARCH(LOWER(Estimation!$B$18),F824)),1,0))</f>
        <v>0</v>
      </c>
      <c r="H824" s="5" t="str">
        <f>IF(G824=1,SUM($G$4:G824),"")</f>
        <v/>
      </c>
    </row>
    <row r="825" spans="1:8" x14ac:dyDescent="0.35">
      <c r="A825" s="56" t="s">
        <v>2858</v>
      </c>
      <c r="B825" s="56" t="s">
        <v>3306</v>
      </c>
      <c r="C825" s="56" t="s">
        <v>3307</v>
      </c>
      <c r="D825" s="39">
        <v>66.2</v>
      </c>
      <c r="E825" s="56" t="s">
        <v>3308</v>
      </c>
      <c r="F825" s="55" t="s">
        <v>3309</v>
      </c>
      <c r="G825" s="5">
        <f>IF(Estimation!$B$18="",0,IF(ISNUMBER(SEARCH(LOWER(Estimation!$B$18),F825)),1,0))</f>
        <v>0</v>
      </c>
      <c r="H825" s="5" t="str">
        <f>IF(G825=1,SUM($G$4:G825),"")</f>
        <v/>
      </c>
    </row>
    <row r="826" spans="1:8" x14ac:dyDescent="0.35">
      <c r="A826" s="56" t="s">
        <v>2858</v>
      </c>
      <c r="B826" s="56" t="s">
        <v>3310</v>
      </c>
      <c r="C826" s="56" t="s">
        <v>3311</v>
      </c>
      <c r="D826" s="39">
        <v>66.2</v>
      </c>
      <c r="E826" s="56" t="s">
        <v>3312</v>
      </c>
      <c r="F826" s="55" t="s">
        <v>3313</v>
      </c>
      <c r="G826" s="5">
        <f>IF(Estimation!$B$18="",0,IF(ISNUMBER(SEARCH(LOWER(Estimation!$B$18),F826)),1,0))</f>
        <v>0</v>
      </c>
      <c r="H826" s="5" t="str">
        <f>IF(G826=1,SUM($G$4:G826),"")</f>
        <v/>
      </c>
    </row>
    <row r="827" spans="1:8" x14ac:dyDescent="0.35">
      <c r="A827" s="56" t="s">
        <v>2858</v>
      </c>
      <c r="B827" s="56" t="s">
        <v>3314</v>
      </c>
      <c r="C827" s="56" t="s">
        <v>3315</v>
      </c>
      <c r="D827" s="39">
        <v>66.2</v>
      </c>
      <c r="E827" s="56" t="s">
        <v>3316</v>
      </c>
      <c r="F827" s="55" t="s">
        <v>3317</v>
      </c>
      <c r="G827" s="5">
        <f>IF(Estimation!$B$18="",0,IF(ISNUMBER(SEARCH(LOWER(Estimation!$B$18),F827)),1,0))</f>
        <v>0</v>
      </c>
      <c r="H827" s="5" t="str">
        <f>IF(G827=1,SUM($G$4:G827),"")</f>
        <v/>
      </c>
    </row>
    <row r="828" spans="1:8" x14ac:dyDescent="0.35">
      <c r="A828" s="56" t="s">
        <v>2858</v>
      </c>
      <c r="B828" s="56" t="s">
        <v>3318</v>
      </c>
      <c r="C828" s="56" t="s">
        <v>3319</v>
      </c>
      <c r="D828" s="39">
        <v>78.86</v>
      </c>
      <c r="E828" s="56" t="s">
        <v>3320</v>
      </c>
      <c r="F828" s="55" t="s">
        <v>3321</v>
      </c>
      <c r="G828" s="5">
        <f>IF(Estimation!$B$18="",0,IF(ISNUMBER(SEARCH(LOWER(Estimation!$B$18),F828)),1,0))</f>
        <v>0</v>
      </c>
      <c r="H828" s="5" t="str">
        <f>IF(G828=1,SUM($G$4:G828),"")</f>
        <v/>
      </c>
    </row>
    <row r="829" spans="1:8" x14ac:dyDescent="0.35">
      <c r="A829" s="56" t="s">
        <v>2858</v>
      </c>
      <c r="B829" s="56" t="s">
        <v>3322</v>
      </c>
      <c r="C829" s="56" t="s">
        <v>3323</v>
      </c>
      <c r="D829" s="39">
        <v>210.93</v>
      </c>
      <c r="E829" s="56" t="s">
        <v>3324</v>
      </c>
      <c r="F829" s="55" t="s">
        <v>3325</v>
      </c>
      <c r="G829" s="5">
        <f>IF(Estimation!$B$18="",0,IF(ISNUMBER(SEARCH(LOWER(Estimation!$B$18),F829)),1,0))</f>
        <v>0</v>
      </c>
      <c r="H829" s="5" t="str">
        <f>IF(G829=1,SUM($G$4:G829),"")</f>
        <v/>
      </c>
    </row>
    <row r="830" spans="1:8" x14ac:dyDescent="0.35">
      <c r="A830" s="56" t="s">
        <v>2858</v>
      </c>
      <c r="B830" s="56" t="s">
        <v>3326</v>
      </c>
      <c r="C830" s="56" t="s">
        <v>3327</v>
      </c>
      <c r="D830" s="39">
        <v>136.19</v>
      </c>
      <c r="E830" s="56" t="s">
        <v>3328</v>
      </c>
      <c r="F830" s="55" t="s">
        <v>3329</v>
      </c>
      <c r="G830" s="5">
        <f>IF(Estimation!$B$18="",0,IF(ISNUMBER(SEARCH(LOWER(Estimation!$B$18),F830)),1,0))</f>
        <v>0</v>
      </c>
      <c r="H830" s="5" t="str">
        <f>IF(G830=1,SUM($G$4:G830),"")</f>
        <v/>
      </c>
    </row>
    <row r="831" spans="1:8" x14ac:dyDescent="0.35">
      <c r="A831" s="56" t="s">
        <v>2858</v>
      </c>
      <c r="B831" s="56" t="s">
        <v>3330</v>
      </c>
      <c r="C831" s="56" t="s">
        <v>3331</v>
      </c>
      <c r="D831" s="39">
        <v>87.54</v>
      </c>
      <c r="E831" s="56" t="s">
        <v>3332</v>
      </c>
      <c r="F831" s="55" t="s">
        <v>3333</v>
      </c>
      <c r="G831" s="5">
        <f>IF(Estimation!$B$18="",0,IF(ISNUMBER(SEARCH(LOWER(Estimation!$B$18),F831)),1,0))</f>
        <v>0</v>
      </c>
      <c r="H831" s="5" t="str">
        <f>IF(G831=1,SUM($G$4:G831),"")</f>
        <v/>
      </c>
    </row>
    <row r="832" spans="1:8" x14ac:dyDescent="0.35">
      <c r="A832" s="56" t="s">
        <v>2858</v>
      </c>
      <c r="B832" s="56" t="s">
        <v>3334</v>
      </c>
      <c r="C832" s="56" t="s">
        <v>3335</v>
      </c>
      <c r="D832" s="39">
        <v>70.95</v>
      </c>
      <c r="E832" s="56" t="s">
        <v>3336</v>
      </c>
      <c r="F832" s="55" t="s">
        <v>3337</v>
      </c>
      <c r="G832" s="5">
        <f>IF(Estimation!$B$18="",0,IF(ISNUMBER(SEARCH(LOWER(Estimation!$B$18),F832)),1,0))</f>
        <v>0</v>
      </c>
      <c r="H832" s="5" t="str">
        <f>IF(G832=1,SUM($G$4:G832),"")</f>
        <v/>
      </c>
    </row>
    <row r="833" spans="1:8" x14ac:dyDescent="0.35">
      <c r="A833" s="56" t="s">
        <v>2858</v>
      </c>
      <c r="B833" s="56" t="s">
        <v>3338</v>
      </c>
      <c r="C833" s="56" t="s">
        <v>3339</v>
      </c>
      <c r="D833" s="39">
        <v>57.65</v>
      </c>
      <c r="E833" s="56" t="s">
        <v>3340</v>
      </c>
      <c r="F833" s="55" t="s">
        <v>3341</v>
      </c>
      <c r="G833" s="5">
        <f>IF(Estimation!$B$18="",0,IF(ISNUMBER(SEARCH(LOWER(Estimation!$B$18),F833)),1,0))</f>
        <v>0</v>
      </c>
      <c r="H833" s="5" t="str">
        <f>IF(G833=1,SUM($G$4:G833),"")</f>
        <v/>
      </c>
    </row>
    <row r="834" spans="1:8" x14ac:dyDescent="0.35">
      <c r="A834" s="56" t="s">
        <v>2858</v>
      </c>
      <c r="B834" s="56" t="s">
        <v>3342</v>
      </c>
      <c r="C834" s="56" t="s">
        <v>3343</v>
      </c>
      <c r="D834" s="39">
        <v>536.78</v>
      </c>
      <c r="E834" s="56" t="s">
        <v>3344</v>
      </c>
      <c r="F834" s="55" t="s">
        <v>3345</v>
      </c>
      <c r="G834" s="5">
        <f>IF(Estimation!$B$18="",0,IF(ISNUMBER(SEARCH(LOWER(Estimation!$B$18),F834)),1,0))</f>
        <v>0</v>
      </c>
      <c r="H834" s="5" t="str">
        <f>IF(G834=1,SUM($G$4:G834),"")</f>
        <v/>
      </c>
    </row>
    <row r="835" spans="1:8" x14ac:dyDescent="0.35">
      <c r="A835" s="56" t="s">
        <v>2858</v>
      </c>
      <c r="B835" s="56" t="s">
        <v>3346</v>
      </c>
      <c r="C835" s="56" t="s">
        <v>3347</v>
      </c>
      <c r="D835" s="39">
        <v>52.97</v>
      </c>
      <c r="E835" s="56" t="s">
        <v>3348</v>
      </c>
      <c r="F835" s="55" t="s">
        <v>3349</v>
      </c>
      <c r="G835" s="5">
        <f>IF(Estimation!$B$18="",0,IF(ISNUMBER(SEARCH(LOWER(Estimation!$B$18),F835)),1,0))</f>
        <v>0</v>
      </c>
      <c r="H835" s="5" t="str">
        <f>IF(G835=1,SUM($G$4:G835),"")</f>
        <v/>
      </c>
    </row>
    <row r="836" spans="1:8" x14ac:dyDescent="0.35">
      <c r="A836" s="56" t="s">
        <v>2858</v>
      </c>
      <c r="B836" s="56" t="s">
        <v>3350</v>
      </c>
      <c r="C836" s="56" t="s">
        <v>3351</v>
      </c>
      <c r="D836" s="39">
        <v>263.54000000000002</v>
      </c>
      <c r="E836" s="56" t="s">
        <v>3352</v>
      </c>
      <c r="F836" s="55" t="s">
        <v>3353</v>
      </c>
      <c r="G836" s="5">
        <f>IF(Estimation!$B$18="",0,IF(ISNUMBER(SEARCH(LOWER(Estimation!$B$18),F836)),1,0))</f>
        <v>0</v>
      </c>
      <c r="H836" s="5" t="str">
        <f>IF(G836=1,SUM($G$4:G836),"")</f>
        <v/>
      </c>
    </row>
    <row r="837" spans="1:8" x14ac:dyDescent="0.35">
      <c r="A837" s="56" t="s">
        <v>2858</v>
      </c>
      <c r="B837" s="56" t="s">
        <v>3354</v>
      </c>
      <c r="C837" s="56" t="s">
        <v>3355</v>
      </c>
      <c r="D837" s="39">
        <v>313.3</v>
      </c>
      <c r="E837" s="56" t="s">
        <v>3356</v>
      </c>
      <c r="F837" s="55" t="s">
        <v>3357</v>
      </c>
      <c r="G837" s="5">
        <f>IF(Estimation!$B$18="",0,IF(ISNUMBER(SEARCH(LOWER(Estimation!$B$18),F837)),1,0))</f>
        <v>0</v>
      </c>
      <c r="H837" s="5" t="str">
        <f>IF(G837=1,SUM($G$4:G837),"")</f>
        <v/>
      </c>
    </row>
    <row r="838" spans="1:8" x14ac:dyDescent="0.35">
      <c r="A838" s="56" t="s">
        <v>2858</v>
      </c>
      <c r="B838" s="56" t="s">
        <v>3358</v>
      </c>
      <c r="C838" s="56" t="s">
        <v>3359</v>
      </c>
      <c r="D838" s="39">
        <v>119.74</v>
      </c>
      <c r="E838" s="56" t="s">
        <v>3360</v>
      </c>
      <c r="F838" s="55" t="s">
        <v>3361</v>
      </c>
      <c r="G838" s="5">
        <f>IF(Estimation!$B$18="",0,IF(ISNUMBER(SEARCH(LOWER(Estimation!$B$18),F838)),1,0))</f>
        <v>0</v>
      </c>
      <c r="H838" s="5" t="str">
        <f>IF(G838=1,SUM($G$4:G838),"")</f>
        <v/>
      </c>
    </row>
    <row r="839" spans="1:8" x14ac:dyDescent="0.35">
      <c r="A839" s="56" t="s">
        <v>2858</v>
      </c>
      <c r="B839" s="56" t="s">
        <v>3362</v>
      </c>
      <c r="C839" s="56" t="s">
        <v>3363</v>
      </c>
      <c r="D839" s="39">
        <v>55.61</v>
      </c>
      <c r="E839" s="56" t="s">
        <v>3364</v>
      </c>
      <c r="F839" s="55" t="s">
        <v>3365</v>
      </c>
      <c r="G839" s="5">
        <f>IF(Estimation!$B$18="",0,IF(ISNUMBER(SEARCH(LOWER(Estimation!$B$18),F839)),1,0))</f>
        <v>0</v>
      </c>
      <c r="H839" s="5" t="str">
        <f>IF(G839=1,SUM($G$4:G839),"")</f>
        <v/>
      </c>
    </row>
    <row r="840" spans="1:8" x14ac:dyDescent="0.35">
      <c r="A840" s="56" t="s">
        <v>2858</v>
      </c>
      <c r="B840" s="56" t="s">
        <v>3366</v>
      </c>
      <c r="C840" s="56" t="s">
        <v>3367</v>
      </c>
      <c r="D840" s="39">
        <v>66.2</v>
      </c>
      <c r="E840" s="56" t="s">
        <v>3368</v>
      </c>
      <c r="F840" s="55" t="s">
        <v>3369</v>
      </c>
      <c r="G840" s="5">
        <f>IF(Estimation!$B$18="",0,IF(ISNUMBER(SEARCH(LOWER(Estimation!$B$18),F840)),1,0))</f>
        <v>0</v>
      </c>
      <c r="H840" s="5" t="str">
        <f>IF(G840=1,SUM($G$4:G840),"")</f>
        <v/>
      </c>
    </row>
    <row r="841" spans="1:8" x14ac:dyDescent="0.35">
      <c r="A841" s="56" t="s">
        <v>2858</v>
      </c>
      <c r="B841" s="56" t="s">
        <v>3370</v>
      </c>
      <c r="C841" s="56" t="s">
        <v>3371</v>
      </c>
      <c r="D841" s="39">
        <v>59.7</v>
      </c>
      <c r="E841" s="56" t="s">
        <v>3372</v>
      </c>
      <c r="F841" s="55" t="s">
        <v>3373</v>
      </c>
      <c r="G841" s="5">
        <f>IF(Estimation!$B$18="",0,IF(ISNUMBER(SEARCH(LOWER(Estimation!$B$18),F841)),1,0))</f>
        <v>0</v>
      </c>
      <c r="H841" s="5" t="str">
        <f>IF(G841=1,SUM($G$4:G841),"")</f>
        <v/>
      </c>
    </row>
    <row r="842" spans="1:8" x14ac:dyDescent="0.35">
      <c r="A842" s="56" t="s">
        <v>2858</v>
      </c>
      <c r="B842" s="56" t="s">
        <v>3374</v>
      </c>
      <c r="C842" s="56" t="s">
        <v>3375</v>
      </c>
      <c r="D842" s="39">
        <v>63.55</v>
      </c>
      <c r="E842" s="56" t="s">
        <v>3376</v>
      </c>
      <c r="F842" s="55" t="s">
        <v>3377</v>
      </c>
      <c r="G842" s="5">
        <f>IF(Estimation!$B$18="",0,IF(ISNUMBER(SEARCH(LOWER(Estimation!$B$18),F842)),1,0))</f>
        <v>0</v>
      </c>
      <c r="H842" s="5" t="str">
        <f>IF(G842=1,SUM($G$4:G842),"")</f>
        <v/>
      </c>
    </row>
    <row r="843" spans="1:8" x14ac:dyDescent="0.35">
      <c r="A843" s="56" t="s">
        <v>2858</v>
      </c>
      <c r="B843" s="56" t="s">
        <v>3378</v>
      </c>
      <c r="C843" s="56" t="s">
        <v>3379</v>
      </c>
      <c r="D843" s="39">
        <v>55.61</v>
      </c>
      <c r="E843" s="56" t="s">
        <v>3380</v>
      </c>
      <c r="F843" s="55" t="s">
        <v>3381</v>
      </c>
      <c r="G843" s="5">
        <f>IF(Estimation!$B$18="",0,IF(ISNUMBER(SEARCH(LOWER(Estimation!$B$18),F843)),1,0))</f>
        <v>0</v>
      </c>
      <c r="H843" s="5" t="str">
        <f>IF(G843=1,SUM($G$4:G843),"")</f>
        <v/>
      </c>
    </row>
    <row r="844" spans="1:8" x14ac:dyDescent="0.35">
      <c r="A844" s="56" t="s">
        <v>2858</v>
      </c>
      <c r="B844" s="56" t="s">
        <v>3382</v>
      </c>
      <c r="C844" s="56" t="s">
        <v>3383</v>
      </c>
      <c r="D844" s="39">
        <v>19.260000000000002</v>
      </c>
      <c r="E844" s="56" t="s">
        <v>3384</v>
      </c>
      <c r="F844" s="55" t="s">
        <v>3385</v>
      </c>
      <c r="G844" s="5">
        <f>IF(Estimation!$B$18="",0,IF(ISNUMBER(SEARCH(LOWER(Estimation!$B$18),F844)),1,0))</f>
        <v>0</v>
      </c>
      <c r="H844" s="5" t="str">
        <f>IF(G844=1,SUM($G$4:G844),"")</f>
        <v/>
      </c>
    </row>
    <row r="845" spans="1:8" x14ac:dyDescent="0.35">
      <c r="A845" s="56" t="s">
        <v>2858</v>
      </c>
      <c r="B845" s="56" t="s">
        <v>3386</v>
      </c>
      <c r="C845" s="56" t="s">
        <v>3387</v>
      </c>
      <c r="D845" s="39">
        <v>93.59</v>
      </c>
      <c r="E845" s="56" t="s">
        <v>3388</v>
      </c>
      <c r="F845" s="55" t="s">
        <v>3389</v>
      </c>
      <c r="G845" s="5">
        <f>IF(Estimation!$B$18="",0,IF(ISNUMBER(SEARCH(LOWER(Estimation!$B$18),F845)),1,0))</f>
        <v>0</v>
      </c>
      <c r="H845" s="5" t="str">
        <f>IF(G845=1,SUM($G$4:G845),"")</f>
        <v/>
      </c>
    </row>
    <row r="846" spans="1:8" x14ac:dyDescent="0.35">
      <c r="A846" s="56" t="s">
        <v>2858</v>
      </c>
      <c r="B846" s="56" t="s">
        <v>3390</v>
      </c>
      <c r="C846" s="56" t="s">
        <v>3391</v>
      </c>
      <c r="D846" s="39">
        <v>93.59</v>
      </c>
      <c r="E846" s="56" t="s">
        <v>3392</v>
      </c>
      <c r="F846" s="55" t="s">
        <v>3393</v>
      </c>
      <c r="G846" s="5">
        <f>IF(Estimation!$B$18="",0,IF(ISNUMBER(SEARCH(LOWER(Estimation!$B$18),F846)),1,0))</f>
        <v>0</v>
      </c>
      <c r="H846" s="5" t="str">
        <f>IF(G846=1,SUM($G$4:G846),"")</f>
        <v/>
      </c>
    </row>
    <row r="847" spans="1:8" x14ac:dyDescent="0.35">
      <c r="A847" s="56" t="s">
        <v>2858</v>
      </c>
      <c r="B847" s="56" t="s">
        <v>3394</v>
      </c>
      <c r="C847" s="56" t="s">
        <v>3395</v>
      </c>
      <c r="D847" s="39">
        <v>97.24</v>
      </c>
      <c r="E847" s="56" t="s">
        <v>3396</v>
      </c>
      <c r="F847" s="55" t="s">
        <v>3397</v>
      </c>
      <c r="G847" s="5">
        <f>IF(Estimation!$B$18="",0,IF(ISNUMBER(SEARCH(LOWER(Estimation!$B$18),F847)),1,0))</f>
        <v>0</v>
      </c>
      <c r="H847" s="5" t="str">
        <f>IF(G847=1,SUM($G$4:G847),"")</f>
        <v/>
      </c>
    </row>
    <row r="848" spans="1:8" x14ac:dyDescent="0.35">
      <c r="A848" s="56" t="s">
        <v>2858</v>
      </c>
      <c r="B848" s="56" t="s">
        <v>3398</v>
      </c>
      <c r="C848" s="56" t="s">
        <v>3399</v>
      </c>
      <c r="D848" s="39">
        <v>121.68</v>
      </c>
      <c r="E848" s="56" t="s">
        <v>3400</v>
      </c>
      <c r="F848" s="55" t="s">
        <v>3401</v>
      </c>
      <c r="G848" s="5">
        <f>IF(Estimation!$B$18="",0,IF(ISNUMBER(SEARCH(LOWER(Estimation!$B$18),F848)),1,0))</f>
        <v>0</v>
      </c>
      <c r="H848" s="5" t="str">
        <f>IF(G848=1,SUM($G$4:G848),"")</f>
        <v/>
      </c>
    </row>
    <row r="849" spans="1:8" x14ac:dyDescent="0.35">
      <c r="A849" s="56" t="s">
        <v>2858</v>
      </c>
      <c r="B849" s="56" t="s">
        <v>3402</v>
      </c>
      <c r="C849" s="56" t="s">
        <v>3403</v>
      </c>
      <c r="D849" s="39">
        <v>121.68</v>
      </c>
      <c r="E849" s="56" t="s">
        <v>3404</v>
      </c>
      <c r="F849" s="55" t="s">
        <v>3405</v>
      </c>
      <c r="G849" s="5">
        <f>IF(Estimation!$B$18="",0,IF(ISNUMBER(SEARCH(LOWER(Estimation!$B$18),F849)),1,0))</f>
        <v>0</v>
      </c>
      <c r="H849" s="5" t="str">
        <f>IF(G849=1,SUM($G$4:G849),"")</f>
        <v/>
      </c>
    </row>
    <row r="850" spans="1:8" x14ac:dyDescent="0.35">
      <c r="A850" s="56" t="s">
        <v>2858</v>
      </c>
      <c r="B850" s="56" t="s">
        <v>3406</v>
      </c>
      <c r="C850" s="56" t="s">
        <v>3407</v>
      </c>
      <c r="D850" s="39">
        <v>534.24</v>
      </c>
      <c r="E850" s="56" t="s">
        <v>3408</v>
      </c>
      <c r="F850" s="55" t="s">
        <v>3409</v>
      </c>
      <c r="G850" s="5">
        <f>IF(Estimation!$B$18="",0,IF(ISNUMBER(SEARCH(LOWER(Estimation!$B$18),F850)),1,0))</f>
        <v>0</v>
      </c>
      <c r="H850" s="5" t="str">
        <f>IF(G850=1,SUM($G$4:G850),"")</f>
        <v/>
      </c>
    </row>
    <row r="851" spans="1:8" x14ac:dyDescent="0.35">
      <c r="A851" s="56" t="s">
        <v>2858</v>
      </c>
      <c r="B851" s="56" t="s">
        <v>3410</v>
      </c>
      <c r="C851" s="56" t="s">
        <v>3411</v>
      </c>
      <c r="D851" s="39">
        <v>6811.98</v>
      </c>
      <c r="E851" s="56" t="s">
        <v>3412</v>
      </c>
      <c r="F851" s="55" t="s">
        <v>3413</v>
      </c>
      <c r="G851" s="5">
        <f>IF(Estimation!$B$18="",0,IF(ISNUMBER(SEARCH(LOWER(Estimation!$B$18),F851)),1,0))</f>
        <v>0</v>
      </c>
      <c r="H851" s="5" t="str">
        <f>IF(G851=1,SUM($G$4:G851),"")</f>
        <v/>
      </c>
    </row>
    <row r="852" spans="1:8" x14ac:dyDescent="0.35">
      <c r="A852" s="56" t="s">
        <v>2858</v>
      </c>
      <c r="B852" s="56" t="s">
        <v>3414</v>
      </c>
      <c r="C852" s="56" t="s">
        <v>3415</v>
      </c>
      <c r="D852" s="39">
        <v>921.78</v>
      </c>
      <c r="E852" s="56" t="s">
        <v>3416</v>
      </c>
      <c r="F852" s="55" t="s">
        <v>3417</v>
      </c>
      <c r="G852" s="5">
        <f>IF(Estimation!$B$18="",0,IF(ISNUMBER(SEARCH(LOWER(Estimation!$B$18),F852)),1,0))</f>
        <v>0</v>
      </c>
      <c r="H852" s="5" t="str">
        <f>IF(G852=1,SUM($G$4:G852),"")</f>
        <v/>
      </c>
    </row>
    <row r="853" spans="1:8" x14ac:dyDescent="0.35">
      <c r="A853" s="56" t="s">
        <v>2858</v>
      </c>
      <c r="B853" s="56" t="s">
        <v>3418</v>
      </c>
      <c r="C853" s="56" t="s">
        <v>3419</v>
      </c>
      <c r="D853" s="39">
        <v>1012.51</v>
      </c>
      <c r="E853" s="56" t="s">
        <v>3420</v>
      </c>
      <c r="F853" s="55" t="s">
        <v>3421</v>
      </c>
      <c r="G853" s="5">
        <f>IF(Estimation!$B$18="",0,IF(ISNUMBER(SEARCH(LOWER(Estimation!$B$18),F853)),1,0))</f>
        <v>0</v>
      </c>
      <c r="H853" s="5" t="str">
        <f>IF(G853=1,SUM($G$4:G853),"")</f>
        <v/>
      </c>
    </row>
    <row r="854" spans="1:8" x14ac:dyDescent="0.35">
      <c r="A854" s="56" t="s">
        <v>2858</v>
      </c>
      <c r="B854" s="56" t="s">
        <v>3422</v>
      </c>
      <c r="C854" s="56" t="s">
        <v>3423</v>
      </c>
      <c r="D854" s="39">
        <v>88.27</v>
      </c>
      <c r="E854" s="56" t="s">
        <v>3424</v>
      </c>
      <c r="F854" s="55" t="s">
        <v>3425</v>
      </c>
      <c r="G854" s="5">
        <f>IF(Estimation!$B$18="",0,IF(ISNUMBER(SEARCH(LOWER(Estimation!$B$18),F854)),1,0))</f>
        <v>0</v>
      </c>
      <c r="H854" s="5" t="str">
        <f>IF(G854=1,SUM($G$4:G854),"")</f>
        <v/>
      </c>
    </row>
    <row r="855" spans="1:8" x14ac:dyDescent="0.35">
      <c r="A855" s="56" t="s">
        <v>2858</v>
      </c>
      <c r="B855" s="56" t="s">
        <v>3426</v>
      </c>
      <c r="C855" s="56" t="s">
        <v>3427</v>
      </c>
      <c r="D855" s="39">
        <v>100.88</v>
      </c>
      <c r="E855" s="56" t="s">
        <v>3428</v>
      </c>
      <c r="F855" s="55" t="s">
        <v>3429</v>
      </c>
      <c r="G855" s="5">
        <f>IF(Estimation!$B$18="",0,IF(ISNUMBER(SEARCH(LOWER(Estimation!$B$18),F855)),1,0))</f>
        <v>0</v>
      </c>
      <c r="H855" s="5" t="str">
        <f>IF(G855=1,SUM($G$4:G855),"")</f>
        <v/>
      </c>
    </row>
    <row r="856" spans="1:8" x14ac:dyDescent="0.35">
      <c r="A856" s="56" t="s">
        <v>2858</v>
      </c>
      <c r="B856" s="56" t="s">
        <v>3430</v>
      </c>
      <c r="C856" s="56" t="s">
        <v>3431</v>
      </c>
      <c r="D856" s="39">
        <v>329.5</v>
      </c>
      <c r="E856" s="56" t="s">
        <v>3432</v>
      </c>
      <c r="F856" s="55" t="s">
        <v>3433</v>
      </c>
      <c r="G856" s="5">
        <f>IF(Estimation!$B$18="",0,IF(ISNUMBER(SEARCH(LOWER(Estimation!$B$18),F856)),1,0))</f>
        <v>0</v>
      </c>
      <c r="H856" s="5" t="str">
        <f>IF(G856=1,SUM($G$4:G856),"")</f>
        <v/>
      </c>
    </row>
    <row r="857" spans="1:8" x14ac:dyDescent="0.35">
      <c r="A857" s="56" t="s">
        <v>2858</v>
      </c>
      <c r="B857" s="56" t="s">
        <v>3434</v>
      </c>
      <c r="C857" s="56" t="s">
        <v>3435</v>
      </c>
      <c r="D857" s="39">
        <v>360.86</v>
      </c>
      <c r="E857" s="56" t="s">
        <v>3436</v>
      </c>
      <c r="F857" s="55" t="s">
        <v>3437</v>
      </c>
      <c r="G857" s="5">
        <f>IF(Estimation!$B$18="",0,IF(ISNUMBER(SEARCH(LOWER(Estimation!$B$18),F857)),1,0))</f>
        <v>0</v>
      </c>
      <c r="H857" s="5" t="str">
        <f>IF(G857=1,SUM($G$4:G857),"")</f>
        <v/>
      </c>
    </row>
    <row r="858" spans="1:8" x14ac:dyDescent="0.35">
      <c r="A858" s="56" t="s">
        <v>2858</v>
      </c>
      <c r="B858" s="56" t="s">
        <v>3438</v>
      </c>
      <c r="C858" s="56" t="s">
        <v>3439</v>
      </c>
      <c r="D858" s="39">
        <v>517.78</v>
      </c>
      <c r="E858" s="56" t="s">
        <v>3440</v>
      </c>
      <c r="F858" s="55" t="s">
        <v>3441</v>
      </c>
      <c r="G858" s="5">
        <f>IF(Estimation!$B$18="",0,IF(ISNUMBER(SEARCH(LOWER(Estimation!$B$18),F858)),1,0))</f>
        <v>0</v>
      </c>
      <c r="H858" s="5" t="str">
        <f>IF(G858=1,SUM($G$4:G858),"")</f>
        <v/>
      </c>
    </row>
    <row r="859" spans="1:8" x14ac:dyDescent="0.35">
      <c r="A859" s="56" t="s">
        <v>2858</v>
      </c>
      <c r="B859" s="56" t="s">
        <v>3442</v>
      </c>
      <c r="C859" s="56" t="s">
        <v>3443</v>
      </c>
      <c r="D859" s="39">
        <v>433.62</v>
      </c>
      <c r="E859" s="56" t="s">
        <v>3444</v>
      </c>
      <c r="F859" s="55" t="s">
        <v>3445</v>
      </c>
      <c r="G859" s="5">
        <f>IF(Estimation!$B$18="",0,IF(ISNUMBER(SEARCH(LOWER(Estimation!$B$18),F859)),1,0))</f>
        <v>0</v>
      </c>
      <c r="H859" s="5" t="str">
        <f>IF(G859=1,SUM($G$4:G859),"")</f>
        <v/>
      </c>
    </row>
    <row r="860" spans="1:8" x14ac:dyDescent="0.35">
      <c r="A860" s="56" t="s">
        <v>2858</v>
      </c>
      <c r="B860" s="56" t="s">
        <v>3446</v>
      </c>
      <c r="C860" s="56" t="s">
        <v>3447</v>
      </c>
      <c r="D860" s="39">
        <v>204.28</v>
      </c>
      <c r="E860" s="56" t="s">
        <v>3448</v>
      </c>
      <c r="F860" s="55" t="s">
        <v>3449</v>
      </c>
      <c r="G860" s="5">
        <f>IF(Estimation!$B$18="",0,IF(ISNUMBER(SEARCH(LOWER(Estimation!$B$18),F860)),1,0))</f>
        <v>0</v>
      </c>
      <c r="H860" s="5" t="str">
        <f>IF(G860=1,SUM($G$4:G860),"")</f>
        <v/>
      </c>
    </row>
    <row r="861" spans="1:8" x14ac:dyDescent="0.35">
      <c r="A861" s="56" t="s">
        <v>2858</v>
      </c>
      <c r="B861" s="56" t="s">
        <v>3450</v>
      </c>
      <c r="C861" s="56" t="s">
        <v>3451</v>
      </c>
      <c r="D861" s="39">
        <v>133.63999999999999</v>
      </c>
      <c r="E861" s="56" t="s">
        <v>3452</v>
      </c>
      <c r="F861" s="55" t="s">
        <v>3453</v>
      </c>
      <c r="G861" s="5">
        <f>IF(Estimation!$B$18="",0,IF(ISNUMBER(SEARCH(LOWER(Estimation!$B$18),F861)),1,0))</f>
        <v>0</v>
      </c>
      <c r="H861" s="5" t="str">
        <f>IF(G861=1,SUM($G$4:G861),"")</f>
        <v/>
      </c>
    </row>
    <row r="862" spans="1:8" x14ac:dyDescent="0.35">
      <c r="A862" s="56" t="s">
        <v>2858</v>
      </c>
      <c r="B862" s="56" t="s">
        <v>3454</v>
      </c>
      <c r="C862" s="56" t="s">
        <v>3455</v>
      </c>
      <c r="D862" s="39">
        <v>136.93</v>
      </c>
      <c r="E862" s="56" t="s">
        <v>3456</v>
      </c>
      <c r="F862" s="55" t="s">
        <v>3457</v>
      </c>
      <c r="G862" s="5">
        <f>IF(Estimation!$B$18="",0,IF(ISNUMBER(SEARCH(LOWER(Estimation!$B$18),F862)),1,0))</f>
        <v>0</v>
      </c>
      <c r="H862" s="5" t="str">
        <f>IF(G862=1,SUM($G$4:G862),"")</f>
        <v/>
      </c>
    </row>
    <row r="863" spans="1:8" x14ac:dyDescent="0.35">
      <c r="A863" s="56" t="s">
        <v>2858</v>
      </c>
      <c r="B863" s="56" t="s">
        <v>3458</v>
      </c>
      <c r="C863" s="56" t="s">
        <v>3459</v>
      </c>
      <c r="D863" s="39">
        <v>133.51</v>
      </c>
      <c r="E863" s="56" t="s">
        <v>3460</v>
      </c>
      <c r="F863" s="55" t="s">
        <v>3461</v>
      </c>
      <c r="G863" s="5">
        <f>IF(Estimation!$B$18="",0,IF(ISNUMBER(SEARCH(LOWER(Estimation!$B$18),F863)),1,0))</f>
        <v>0</v>
      </c>
      <c r="H863" s="5" t="str">
        <f>IF(G863=1,SUM($G$4:G863),"")</f>
        <v/>
      </c>
    </row>
    <row r="864" spans="1:8" x14ac:dyDescent="0.35">
      <c r="A864" s="56" t="s">
        <v>2858</v>
      </c>
      <c r="B864" s="56" t="s">
        <v>3462</v>
      </c>
      <c r="C864" s="56" t="s">
        <v>3463</v>
      </c>
      <c r="D864" s="39">
        <v>47.06</v>
      </c>
      <c r="E864" s="56" t="s">
        <v>3464</v>
      </c>
      <c r="F864" s="55" t="s">
        <v>3465</v>
      </c>
      <c r="G864" s="5">
        <f>IF(Estimation!$B$18="",0,IF(ISNUMBER(SEARCH(LOWER(Estimation!$B$18),F864)),1,0))</f>
        <v>0</v>
      </c>
      <c r="H864" s="5" t="str">
        <f>IF(G864=1,SUM($G$4:G864),"")</f>
        <v/>
      </c>
    </row>
    <row r="865" spans="1:8" x14ac:dyDescent="0.35">
      <c r="A865" s="56" t="s">
        <v>2858</v>
      </c>
      <c r="B865" s="56" t="s">
        <v>3466</v>
      </c>
      <c r="C865" s="56" t="s">
        <v>3467</v>
      </c>
      <c r="D865" s="39">
        <v>47.06</v>
      </c>
      <c r="E865" s="56" t="s">
        <v>3468</v>
      </c>
      <c r="F865" s="55" t="s">
        <v>3469</v>
      </c>
      <c r="G865" s="5">
        <f>IF(Estimation!$B$18="",0,IF(ISNUMBER(SEARCH(LOWER(Estimation!$B$18),F865)),1,0))</f>
        <v>0</v>
      </c>
      <c r="H865" s="5" t="str">
        <f>IF(G865=1,SUM($G$4:G865),"")</f>
        <v/>
      </c>
    </row>
    <row r="866" spans="1:8" x14ac:dyDescent="0.35">
      <c r="A866" s="56" t="s">
        <v>2858</v>
      </c>
      <c r="B866" s="56" t="s">
        <v>3470</v>
      </c>
      <c r="C866" s="56" t="s">
        <v>3471</v>
      </c>
      <c r="D866" s="39">
        <v>47.06</v>
      </c>
      <c r="E866" s="56" t="s">
        <v>3472</v>
      </c>
      <c r="F866" s="55" t="s">
        <v>3473</v>
      </c>
      <c r="G866" s="5">
        <f>IF(Estimation!$B$18="",0,IF(ISNUMBER(SEARCH(LOWER(Estimation!$B$18),F866)),1,0))</f>
        <v>0</v>
      </c>
      <c r="H866" s="5" t="str">
        <f>IF(G866=1,SUM($G$4:G866),"")</f>
        <v/>
      </c>
    </row>
    <row r="867" spans="1:8" x14ac:dyDescent="0.35">
      <c r="A867" s="56" t="s">
        <v>2858</v>
      </c>
      <c r="B867" s="56" t="s">
        <v>3474</v>
      </c>
      <c r="C867" s="56" t="s">
        <v>3475</v>
      </c>
      <c r="D867" s="39">
        <v>47.06</v>
      </c>
      <c r="E867" s="56" t="s">
        <v>3476</v>
      </c>
      <c r="F867" s="55" t="s">
        <v>3477</v>
      </c>
      <c r="G867" s="5">
        <f>IF(Estimation!$B$18="",0,IF(ISNUMBER(SEARCH(LOWER(Estimation!$B$18),F867)),1,0))</f>
        <v>0</v>
      </c>
      <c r="H867" s="5" t="str">
        <f>IF(G867=1,SUM($G$4:G867),"")</f>
        <v/>
      </c>
    </row>
    <row r="868" spans="1:8" x14ac:dyDescent="0.35">
      <c r="A868" s="56" t="s">
        <v>2858</v>
      </c>
      <c r="B868" s="56" t="s">
        <v>3478</v>
      </c>
      <c r="C868" s="56" t="s">
        <v>3479</v>
      </c>
      <c r="D868" s="39">
        <v>47.06</v>
      </c>
      <c r="E868" s="56" t="s">
        <v>3480</v>
      </c>
      <c r="F868" s="55" t="s">
        <v>3481</v>
      </c>
      <c r="G868" s="5">
        <f>IF(Estimation!$B$18="",0,IF(ISNUMBER(SEARCH(LOWER(Estimation!$B$18),F868)),1,0))</f>
        <v>0</v>
      </c>
      <c r="H868" s="5" t="str">
        <f>IF(G868=1,SUM($G$4:G868),"")</f>
        <v/>
      </c>
    </row>
    <row r="869" spans="1:8" x14ac:dyDescent="0.35">
      <c r="A869" s="56" t="s">
        <v>2858</v>
      </c>
      <c r="B869" s="56" t="s">
        <v>3482</v>
      </c>
      <c r="C869" s="56" t="s">
        <v>3483</v>
      </c>
      <c r="D869" s="39">
        <v>47.06</v>
      </c>
      <c r="E869" s="56" t="s">
        <v>3484</v>
      </c>
      <c r="F869" s="55" t="s">
        <v>3485</v>
      </c>
      <c r="G869" s="5">
        <f>IF(Estimation!$B$18="",0,IF(ISNUMBER(SEARCH(LOWER(Estimation!$B$18),F869)),1,0))</f>
        <v>0</v>
      </c>
      <c r="H869" s="5" t="str">
        <f>IF(G869=1,SUM($G$4:G869),"")</f>
        <v/>
      </c>
    </row>
    <row r="870" spans="1:8" x14ac:dyDescent="0.35">
      <c r="A870" s="56" t="s">
        <v>2858</v>
      </c>
      <c r="B870" s="56" t="s">
        <v>3486</v>
      </c>
      <c r="C870" s="56" t="s">
        <v>3487</v>
      </c>
      <c r="D870" s="39">
        <v>47.06</v>
      </c>
      <c r="E870" s="56" t="s">
        <v>3488</v>
      </c>
      <c r="F870" s="55" t="s">
        <v>3489</v>
      </c>
      <c r="G870" s="5">
        <f>IF(Estimation!$B$18="",0,IF(ISNUMBER(SEARCH(LOWER(Estimation!$B$18),F870)),1,0))</f>
        <v>0</v>
      </c>
      <c r="H870" s="5" t="str">
        <f>IF(G870=1,SUM($G$4:G870),"")</f>
        <v/>
      </c>
    </row>
    <row r="871" spans="1:8" x14ac:dyDescent="0.35">
      <c r="A871" s="56" t="s">
        <v>2858</v>
      </c>
      <c r="B871" s="56" t="s">
        <v>3490</v>
      </c>
      <c r="C871" s="56" t="s">
        <v>3491</v>
      </c>
      <c r="D871" s="39">
        <v>41.34</v>
      </c>
      <c r="E871" s="56" t="s">
        <v>3492</v>
      </c>
      <c r="F871" s="55" t="s">
        <v>3493</v>
      </c>
      <c r="G871" s="5">
        <f>IF(Estimation!$B$18="",0,IF(ISNUMBER(SEARCH(LOWER(Estimation!$B$18),F871)),1,0))</f>
        <v>0</v>
      </c>
      <c r="H871" s="5" t="str">
        <f>IF(G871=1,SUM($G$4:G871),"")</f>
        <v/>
      </c>
    </row>
    <row r="872" spans="1:8" x14ac:dyDescent="0.35">
      <c r="A872" s="56" t="s">
        <v>2858</v>
      </c>
      <c r="B872" s="56" t="s">
        <v>3494</v>
      </c>
      <c r="C872" s="56" t="s">
        <v>3495</v>
      </c>
      <c r="D872" s="39">
        <v>41.34</v>
      </c>
      <c r="E872" s="56" t="s">
        <v>3496</v>
      </c>
      <c r="F872" s="55" t="s">
        <v>3497</v>
      </c>
      <c r="G872" s="5">
        <f>IF(Estimation!$B$18="",0,IF(ISNUMBER(SEARCH(LOWER(Estimation!$B$18),F872)),1,0))</f>
        <v>0</v>
      </c>
      <c r="H872" s="5" t="str">
        <f>IF(G872=1,SUM($G$4:G872),"")</f>
        <v/>
      </c>
    </row>
    <row r="873" spans="1:8" x14ac:dyDescent="0.35">
      <c r="A873" s="56" t="s">
        <v>2858</v>
      </c>
      <c r="B873" s="56" t="s">
        <v>3498</v>
      </c>
      <c r="C873" s="56" t="s">
        <v>3499</v>
      </c>
      <c r="D873" s="39">
        <v>17.2</v>
      </c>
      <c r="E873" s="56" t="s">
        <v>3500</v>
      </c>
      <c r="F873" s="55" t="s">
        <v>3501</v>
      </c>
      <c r="G873" s="5">
        <f>IF(Estimation!$B$18="",0,IF(ISNUMBER(SEARCH(LOWER(Estimation!$B$18),F873)),1,0))</f>
        <v>0</v>
      </c>
      <c r="H873" s="5" t="str">
        <f>IF(G873=1,SUM($G$4:G873),"")</f>
        <v/>
      </c>
    </row>
    <row r="874" spans="1:8" x14ac:dyDescent="0.35">
      <c r="A874" s="56" t="s">
        <v>2858</v>
      </c>
      <c r="B874" s="56" t="s">
        <v>3502</v>
      </c>
      <c r="C874" s="56" t="s">
        <v>3503</v>
      </c>
      <c r="D874" s="39">
        <v>18.52</v>
      </c>
      <c r="E874" s="56" t="s">
        <v>3504</v>
      </c>
      <c r="F874" s="55" t="s">
        <v>3505</v>
      </c>
      <c r="G874" s="5">
        <f>IF(Estimation!$B$18="",0,IF(ISNUMBER(SEARCH(LOWER(Estimation!$B$18),F874)),1,0))</f>
        <v>0</v>
      </c>
      <c r="H874" s="5" t="str">
        <f>IF(G874=1,SUM($G$4:G874),"")</f>
        <v/>
      </c>
    </row>
    <row r="875" spans="1:8" x14ac:dyDescent="0.35">
      <c r="A875" s="56" t="s">
        <v>2858</v>
      </c>
      <c r="B875" s="56" t="s">
        <v>3506</v>
      </c>
      <c r="C875" s="56" t="s">
        <v>3507</v>
      </c>
      <c r="D875" s="39">
        <v>148.84</v>
      </c>
      <c r="E875" s="56" t="s">
        <v>3508</v>
      </c>
      <c r="F875" s="55" t="s">
        <v>3509</v>
      </c>
      <c r="G875" s="5">
        <f>IF(Estimation!$B$18="",0,IF(ISNUMBER(SEARCH(LOWER(Estimation!$B$18),F875)),1,0))</f>
        <v>0</v>
      </c>
      <c r="H875" s="5" t="str">
        <f>IF(G875=1,SUM($G$4:G875),"")</f>
        <v/>
      </c>
    </row>
    <row r="876" spans="1:8" x14ac:dyDescent="0.35">
      <c r="A876" s="56" t="s">
        <v>2858</v>
      </c>
      <c r="B876" s="56" t="s">
        <v>3510</v>
      </c>
      <c r="C876" s="56" t="s">
        <v>3511</v>
      </c>
      <c r="D876" s="39">
        <v>64.790000000000006</v>
      </c>
      <c r="E876" s="56" t="s">
        <v>3512</v>
      </c>
      <c r="F876" s="55" t="s">
        <v>3513</v>
      </c>
      <c r="G876" s="5">
        <f>IF(Estimation!$B$18="",0,IF(ISNUMBER(SEARCH(LOWER(Estimation!$B$18),F876)),1,0))</f>
        <v>0</v>
      </c>
      <c r="H876" s="5" t="str">
        <f>IF(G876=1,SUM($G$4:G876),"")</f>
        <v/>
      </c>
    </row>
    <row r="877" spans="1:8" x14ac:dyDescent="0.35">
      <c r="A877" s="56" t="s">
        <v>2858</v>
      </c>
      <c r="B877" s="56" t="s">
        <v>3514</v>
      </c>
      <c r="C877" s="56" t="s">
        <v>3515</v>
      </c>
      <c r="D877" s="39">
        <v>64.790000000000006</v>
      </c>
      <c r="E877" s="56" t="s">
        <v>3516</v>
      </c>
      <c r="F877" s="55" t="s">
        <v>3517</v>
      </c>
      <c r="G877" s="5">
        <f>IF(Estimation!$B$18="",0,IF(ISNUMBER(SEARCH(LOWER(Estimation!$B$18),F877)),1,0))</f>
        <v>0</v>
      </c>
      <c r="H877" s="5" t="str">
        <f>IF(G877=1,SUM($G$4:G877),"")</f>
        <v/>
      </c>
    </row>
    <row r="878" spans="1:8" x14ac:dyDescent="0.35">
      <c r="A878" s="56" t="s">
        <v>2858</v>
      </c>
      <c r="B878" s="56" t="s">
        <v>3518</v>
      </c>
      <c r="C878" s="56" t="s">
        <v>3519</v>
      </c>
      <c r="D878" s="39">
        <v>25.86</v>
      </c>
      <c r="E878" s="56" t="s">
        <v>3520</v>
      </c>
      <c r="F878" s="55" t="s">
        <v>3521</v>
      </c>
      <c r="G878" s="5">
        <f>IF(Estimation!$B$18="",0,IF(ISNUMBER(SEARCH(LOWER(Estimation!$B$18),F878)),1,0))</f>
        <v>0</v>
      </c>
      <c r="H878" s="5" t="str">
        <f>IF(G878=1,SUM($G$4:G878),"")</f>
        <v/>
      </c>
    </row>
    <row r="879" spans="1:8" x14ac:dyDescent="0.35">
      <c r="A879" s="56" t="s">
        <v>2858</v>
      </c>
      <c r="B879" s="56" t="s">
        <v>3522</v>
      </c>
      <c r="C879" s="56" t="s">
        <v>3523</v>
      </c>
      <c r="D879" s="39">
        <v>158.05000000000001</v>
      </c>
      <c r="E879" s="56" t="s">
        <v>3524</v>
      </c>
      <c r="F879" s="55" t="s">
        <v>3525</v>
      </c>
      <c r="G879" s="5">
        <f>IF(Estimation!$B$18="",0,IF(ISNUMBER(SEARCH(LOWER(Estimation!$B$18),F879)),1,0))</f>
        <v>0</v>
      </c>
      <c r="H879" s="5" t="str">
        <f>IF(G879=1,SUM($G$4:G879),"")</f>
        <v/>
      </c>
    </row>
    <row r="880" spans="1:8" x14ac:dyDescent="0.35">
      <c r="A880" s="56" t="s">
        <v>2858</v>
      </c>
      <c r="B880" s="56" t="s">
        <v>3526</v>
      </c>
      <c r="C880" s="56" t="s">
        <v>3527</v>
      </c>
      <c r="D880" s="39">
        <v>64.790000000000006</v>
      </c>
      <c r="E880" s="56" t="s">
        <v>3528</v>
      </c>
      <c r="F880" s="55" t="s">
        <v>3529</v>
      </c>
      <c r="G880" s="5">
        <f>IF(Estimation!$B$18="",0,IF(ISNUMBER(SEARCH(LOWER(Estimation!$B$18),F880)),1,0))</f>
        <v>0</v>
      </c>
      <c r="H880" s="5" t="str">
        <f>IF(G880=1,SUM($G$4:G880),"")</f>
        <v/>
      </c>
    </row>
    <row r="881" spans="1:8" x14ac:dyDescent="0.35">
      <c r="A881" s="56" t="s">
        <v>2858</v>
      </c>
      <c r="B881" s="56" t="s">
        <v>3530</v>
      </c>
      <c r="C881" s="56" t="s">
        <v>3531</v>
      </c>
      <c r="D881" s="39">
        <v>71.849999999999994</v>
      </c>
      <c r="E881" s="56" t="s">
        <v>3532</v>
      </c>
      <c r="F881" s="55" t="s">
        <v>3533</v>
      </c>
      <c r="G881" s="5">
        <f>IF(Estimation!$B$18="",0,IF(ISNUMBER(SEARCH(LOWER(Estimation!$B$18),F881)),1,0))</f>
        <v>0</v>
      </c>
      <c r="H881" s="5" t="str">
        <f>IF(G881=1,SUM($G$4:G881),"")</f>
        <v/>
      </c>
    </row>
    <row r="882" spans="1:8" x14ac:dyDescent="0.35">
      <c r="A882" s="56" t="s">
        <v>2858</v>
      </c>
      <c r="B882" s="56" t="s">
        <v>3534</v>
      </c>
      <c r="C882" s="56" t="s">
        <v>3535</v>
      </c>
      <c r="D882" s="39">
        <v>50.15</v>
      </c>
      <c r="E882" s="56" t="s">
        <v>3536</v>
      </c>
      <c r="F882" s="55" t="s">
        <v>3537</v>
      </c>
      <c r="G882" s="5">
        <f>IF(Estimation!$B$18="",0,IF(ISNUMBER(SEARCH(LOWER(Estimation!$B$18),F882)),1,0))</f>
        <v>0</v>
      </c>
      <c r="H882" s="5" t="str">
        <f>IF(G882=1,SUM($G$4:G882),"")</f>
        <v/>
      </c>
    </row>
    <row r="883" spans="1:8" x14ac:dyDescent="0.35">
      <c r="A883" s="56" t="s">
        <v>2858</v>
      </c>
      <c r="B883" s="56" t="s">
        <v>3538</v>
      </c>
      <c r="C883" s="56" t="s">
        <v>3539</v>
      </c>
      <c r="D883" s="39">
        <v>466.67</v>
      </c>
      <c r="E883" s="56" t="s">
        <v>3540</v>
      </c>
      <c r="F883" s="55" t="s">
        <v>3541</v>
      </c>
      <c r="G883" s="5">
        <f>IF(Estimation!$B$18="",0,IF(ISNUMBER(SEARCH(LOWER(Estimation!$B$18),F883)),1,0))</f>
        <v>0</v>
      </c>
      <c r="H883" s="5" t="str">
        <f>IF(G883=1,SUM($G$4:G883),"")</f>
        <v/>
      </c>
    </row>
    <row r="884" spans="1:8" x14ac:dyDescent="0.35">
      <c r="A884" s="56" t="s">
        <v>2858</v>
      </c>
      <c r="B884" s="56" t="s">
        <v>3542</v>
      </c>
      <c r="C884" s="56" t="s">
        <v>3543</v>
      </c>
      <c r="D884" s="39">
        <v>646.57000000000005</v>
      </c>
      <c r="E884" s="56" t="s">
        <v>3544</v>
      </c>
      <c r="F884" s="55" t="s">
        <v>3545</v>
      </c>
      <c r="G884" s="5">
        <f>IF(Estimation!$B$18="",0,IF(ISNUMBER(SEARCH(LOWER(Estimation!$B$18),F884)),1,0))</f>
        <v>0</v>
      </c>
      <c r="H884" s="5" t="str">
        <f>IF(G884=1,SUM($G$4:G884),"")</f>
        <v/>
      </c>
    </row>
    <row r="885" spans="1:8" x14ac:dyDescent="0.35">
      <c r="A885" s="56" t="s">
        <v>2858</v>
      </c>
      <c r="B885" s="56" t="s">
        <v>3546</v>
      </c>
      <c r="C885" s="56" t="s">
        <v>3547</v>
      </c>
      <c r="D885" s="39">
        <v>118.38</v>
      </c>
      <c r="E885" s="56" t="s">
        <v>3548</v>
      </c>
      <c r="F885" s="55" t="s">
        <v>3549</v>
      </c>
      <c r="G885" s="5">
        <f>IF(Estimation!$B$18="",0,IF(ISNUMBER(SEARCH(LOWER(Estimation!$B$18),F885)),1,0))</f>
        <v>0</v>
      </c>
      <c r="H885" s="5" t="str">
        <f>IF(G885=1,SUM($G$4:G885),"")</f>
        <v/>
      </c>
    </row>
    <row r="886" spans="1:8" x14ac:dyDescent="0.35">
      <c r="A886" s="56" t="s">
        <v>2858</v>
      </c>
      <c r="B886" s="56" t="s">
        <v>3550</v>
      </c>
      <c r="C886" s="56" t="s">
        <v>3551</v>
      </c>
      <c r="D886" s="39">
        <v>403.48</v>
      </c>
      <c r="E886" s="56" t="s">
        <v>3552</v>
      </c>
      <c r="F886" s="55" t="s">
        <v>3553</v>
      </c>
      <c r="G886" s="5">
        <f>IF(Estimation!$B$18="",0,IF(ISNUMBER(SEARCH(LOWER(Estimation!$B$18),F886)),1,0))</f>
        <v>0</v>
      </c>
      <c r="H886" s="5" t="str">
        <f>IF(G886=1,SUM($G$4:G886),"")</f>
        <v/>
      </c>
    </row>
    <row r="887" spans="1:8" x14ac:dyDescent="0.35">
      <c r="A887" s="56" t="s">
        <v>2858</v>
      </c>
      <c r="B887" s="56" t="s">
        <v>3554</v>
      </c>
      <c r="C887" s="56" t="s">
        <v>3555</v>
      </c>
      <c r="D887" s="39">
        <v>4874</v>
      </c>
      <c r="E887" s="56" t="s">
        <v>3556</v>
      </c>
      <c r="F887" s="55" t="s">
        <v>3557</v>
      </c>
      <c r="G887" s="5">
        <f>IF(Estimation!$B$18="",0,IF(ISNUMBER(SEARCH(LOWER(Estimation!$B$18),F887)),1,0))</f>
        <v>0</v>
      </c>
      <c r="H887" s="5" t="str">
        <f>IF(G887=1,SUM($G$4:G887),"")</f>
        <v/>
      </c>
    </row>
    <row r="888" spans="1:8" x14ac:dyDescent="0.35">
      <c r="A888" s="56" t="s">
        <v>2858</v>
      </c>
      <c r="B888" s="56" t="s">
        <v>3558</v>
      </c>
      <c r="C888" s="56" t="s">
        <v>3559</v>
      </c>
      <c r="D888" s="39">
        <v>1252.5</v>
      </c>
      <c r="E888" s="56" t="s">
        <v>3560</v>
      </c>
      <c r="F888" s="55" t="s">
        <v>3561</v>
      </c>
      <c r="G888" s="5">
        <f>IF(Estimation!$B$18="",0,IF(ISNUMBER(SEARCH(LOWER(Estimation!$B$18),F888)),1,0))</f>
        <v>0</v>
      </c>
      <c r="H888" s="5" t="str">
        <f>IF(G888=1,SUM($G$4:G888),"")</f>
        <v/>
      </c>
    </row>
    <row r="889" spans="1:8" x14ac:dyDescent="0.35">
      <c r="A889" s="56" t="s">
        <v>2858</v>
      </c>
      <c r="B889" s="56" t="s">
        <v>3562</v>
      </c>
      <c r="C889" s="56" t="s">
        <v>3563</v>
      </c>
      <c r="D889" s="39">
        <v>447.32</v>
      </c>
      <c r="E889" s="56" t="s">
        <v>3564</v>
      </c>
      <c r="F889" s="55" t="s">
        <v>3565</v>
      </c>
      <c r="G889" s="5">
        <f>IF(Estimation!$B$18="",0,IF(ISNUMBER(SEARCH(LOWER(Estimation!$B$18),F889)),1,0))</f>
        <v>0</v>
      </c>
      <c r="H889" s="5" t="str">
        <f>IF(G889=1,SUM($G$4:G889),"")</f>
        <v/>
      </c>
    </row>
    <row r="890" spans="1:8" x14ac:dyDescent="0.35">
      <c r="A890" s="56" t="s">
        <v>2858</v>
      </c>
      <c r="B890" s="56" t="s">
        <v>3566</v>
      </c>
      <c r="C890" s="56" t="s">
        <v>3567</v>
      </c>
      <c r="D890" s="39">
        <v>251.52</v>
      </c>
      <c r="E890" s="56" t="s">
        <v>3568</v>
      </c>
      <c r="F890" s="55" t="s">
        <v>3569</v>
      </c>
      <c r="G890" s="5">
        <f>IF(Estimation!$B$18="",0,IF(ISNUMBER(SEARCH(LOWER(Estimation!$B$18),F890)),1,0))</f>
        <v>0</v>
      </c>
      <c r="H890" s="5" t="str">
        <f>IF(G890=1,SUM($G$4:G890),"")</f>
        <v/>
      </c>
    </row>
    <row r="891" spans="1:8" x14ac:dyDescent="0.35">
      <c r="A891" s="56" t="s">
        <v>2858</v>
      </c>
      <c r="B891" s="56" t="s">
        <v>3570</v>
      </c>
      <c r="C891" s="56" t="s">
        <v>3571</v>
      </c>
      <c r="D891" s="39">
        <v>270.5</v>
      </c>
      <c r="E891" s="56" t="s">
        <v>3572</v>
      </c>
      <c r="F891" s="55" t="s">
        <v>3573</v>
      </c>
      <c r="G891" s="5">
        <f>IF(Estimation!$B$18="",0,IF(ISNUMBER(SEARCH(LOWER(Estimation!$B$18),F891)),1,0))</f>
        <v>0</v>
      </c>
      <c r="H891" s="5" t="str">
        <f>IF(G891=1,SUM($G$4:G891),"")</f>
        <v/>
      </c>
    </row>
    <row r="892" spans="1:8" x14ac:dyDescent="0.35">
      <c r="A892" s="56" t="s">
        <v>2858</v>
      </c>
      <c r="B892" s="56" t="s">
        <v>3574</v>
      </c>
      <c r="C892" s="56" t="s">
        <v>3575</v>
      </c>
      <c r="D892" s="39">
        <v>242.02</v>
      </c>
      <c r="E892" s="56" t="s">
        <v>3576</v>
      </c>
      <c r="F892" s="55" t="s">
        <v>3577</v>
      </c>
      <c r="G892" s="5">
        <f>IF(Estimation!$B$18="",0,IF(ISNUMBER(SEARCH(LOWER(Estimation!$B$18),F892)),1,0))</f>
        <v>0</v>
      </c>
      <c r="H892" s="5" t="str">
        <f>IF(G892=1,SUM($G$4:G892),"")</f>
        <v/>
      </c>
    </row>
    <row r="893" spans="1:8" x14ac:dyDescent="0.35">
      <c r="A893" s="56" t="s">
        <v>2858</v>
      </c>
      <c r="B893" s="56" t="s">
        <v>791</v>
      </c>
      <c r="C893" s="56" t="s">
        <v>3578</v>
      </c>
      <c r="D893" s="39">
        <v>1053.31</v>
      </c>
      <c r="E893" s="56" t="s">
        <v>3579</v>
      </c>
      <c r="F893" s="55" t="s">
        <v>3580</v>
      </c>
      <c r="G893" s="5">
        <f>IF(Estimation!$B$18="",0,IF(ISNUMBER(SEARCH(LOWER(Estimation!$B$18),F893)),1,0))</f>
        <v>0</v>
      </c>
      <c r="H893" s="5" t="str">
        <f>IF(G893=1,SUM($G$4:G893),"")</f>
        <v/>
      </c>
    </row>
    <row r="894" spans="1:8" x14ac:dyDescent="0.35">
      <c r="A894" s="56" t="s">
        <v>2858</v>
      </c>
      <c r="B894" s="56" t="s">
        <v>3581</v>
      </c>
      <c r="C894" s="56" t="s">
        <v>3582</v>
      </c>
      <c r="D894" s="39">
        <v>359.21</v>
      </c>
      <c r="E894" s="56" t="s">
        <v>3583</v>
      </c>
      <c r="F894" s="55" t="s">
        <v>3584</v>
      </c>
      <c r="G894" s="5">
        <f>IF(Estimation!$B$18="",0,IF(ISNUMBER(SEARCH(LOWER(Estimation!$B$18),F894)),1,0))</f>
        <v>0</v>
      </c>
      <c r="H894" s="5" t="str">
        <f>IF(G894=1,SUM($G$4:G894),"")</f>
        <v/>
      </c>
    </row>
    <row r="895" spans="1:8" x14ac:dyDescent="0.35">
      <c r="A895" s="56" t="s">
        <v>2858</v>
      </c>
      <c r="B895" s="56" t="s">
        <v>3585</v>
      </c>
      <c r="C895" s="56" t="s">
        <v>3586</v>
      </c>
      <c r="D895" s="39">
        <v>478.59</v>
      </c>
      <c r="E895" s="56" t="s">
        <v>3587</v>
      </c>
      <c r="F895" s="55" t="s">
        <v>3588</v>
      </c>
      <c r="G895" s="5">
        <f>IF(Estimation!$B$18="",0,IF(ISNUMBER(SEARCH(LOWER(Estimation!$B$18),F895)),1,0))</f>
        <v>0</v>
      </c>
      <c r="H895" s="5" t="str">
        <f>IF(G895=1,SUM($G$4:G895),"")</f>
        <v/>
      </c>
    </row>
    <row r="896" spans="1:8" x14ac:dyDescent="0.35">
      <c r="A896" s="56" t="s">
        <v>2858</v>
      </c>
      <c r="B896" s="56" t="s">
        <v>787</v>
      </c>
      <c r="C896" s="56" t="s">
        <v>3589</v>
      </c>
      <c r="D896" s="39">
        <v>478.59</v>
      </c>
      <c r="E896" s="56" t="s">
        <v>3590</v>
      </c>
      <c r="F896" s="55" t="s">
        <v>3591</v>
      </c>
      <c r="G896" s="5">
        <f>IF(Estimation!$B$18="",0,IF(ISNUMBER(SEARCH(LOWER(Estimation!$B$18),F896)),1,0))</f>
        <v>0</v>
      </c>
      <c r="H896" s="5" t="str">
        <f>IF(G896=1,SUM($G$4:G896),"")</f>
        <v/>
      </c>
    </row>
    <row r="897" spans="1:8" x14ac:dyDescent="0.35">
      <c r="A897" s="56" t="s">
        <v>2858</v>
      </c>
      <c r="B897" s="56" t="s">
        <v>779</v>
      </c>
      <c r="C897" s="56" t="s">
        <v>3592</v>
      </c>
      <c r="D897" s="39">
        <v>992.71</v>
      </c>
      <c r="E897" s="56" t="s">
        <v>3593</v>
      </c>
      <c r="F897" s="55" t="s">
        <v>3594</v>
      </c>
      <c r="G897" s="5">
        <f>IF(Estimation!$B$18="",0,IF(ISNUMBER(SEARCH(LOWER(Estimation!$B$18),F897)),1,0))</f>
        <v>0</v>
      </c>
      <c r="H897" s="5" t="str">
        <f>IF(G897=1,SUM($G$4:G897),"")</f>
        <v/>
      </c>
    </row>
    <row r="898" spans="1:8" x14ac:dyDescent="0.35">
      <c r="A898" s="56" t="s">
        <v>2858</v>
      </c>
      <c r="B898" s="56" t="s">
        <v>783</v>
      </c>
      <c r="C898" s="56" t="s">
        <v>3595</v>
      </c>
      <c r="D898" s="39">
        <v>1023.02</v>
      </c>
      <c r="E898" s="56" t="s">
        <v>3596</v>
      </c>
      <c r="F898" s="55" t="s">
        <v>3597</v>
      </c>
      <c r="G898" s="5">
        <f>IF(Estimation!$B$18="",0,IF(ISNUMBER(SEARCH(LOWER(Estimation!$B$18),F898)),1,0))</f>
        <v>0</v>
      </c>
      <c r="H898" s="5" t="str">
        <f>IF(G898=1,SUM($G$4:G898),"")</f>
        <v/>
      </c>
    </row>
    <row r="899" spans="1:8" x14ac:dyDescent="0.35">
      <c r="A899" s="56" t="s">
        <v>2858</v>
      </c>
      <c r="B899" s="56" t="s">
        <v>3598</v>
      </c>
      <c r="C899" s="56" t="s">
        <v>3599</v>
      </c>
      <c r="D899" s="39">
        <v>92.14</v>
      </c>
      <c r="E899" s="56" t="s">
        <v>3600</v>
      </c>
      <c r="F899" s="55" t="s">
        <v>3601</v>
      </c>
      <c r="G899" s="5">
        <f>IF(Estimation!$B$18="",0,IF(ISNUMBER(SEARCH(LOWER(Estimation!$B$18),F899)),1,0))</f>
        <v>0</v>
      </c>
      <c r="H899" s="5" t="str">
        <f>IF(G899=1,SUM($G$4:G899),"")</f>
        <v/>
      </c>
    </row>
    <row r="900" spans="1:8" x14ac:dyDescent="0.35">
      <c r="A900" s="56" t="s">
        <v>2858</v>
      </c>
      <c r="B900" s="56" t="s">
        <v>3602</v>
      </c>
      <c r="C900" s="56" t="s">
        <v>3603</v>
      </c>
      <c r="D900" s="39">
        <v>37.36</v>
      </c>
      <c r="E900" s="56" t="s">
        <v>3604</v>
      </c>
      <c r="F900" s="55" t="s">
        <v>3605</v>
      </c>
      <c r="G900" s="5">
        <f>IF(Estimation!$B$18="",0,IF(ISNUMBER(SEARCH(LOWER(Estimation!$B$18),F900)),1,0))</f>
        <v>0</v>
      </c>
      <c r="H900" s="5" t="str">
        <f>IF(G900=1,SUM($G$4:G900),"")</f>
        <v/>
      </c>
    </row>
    <row r="901" spans="1:8" x14ac:dyDescent="0.35">
      <c r="A901" s="56" t="s">
        <v>2858</v>
      </c>
      <c r="B901" s="56" t="s">
        <v>3606</v>
      </c>
      <c r="C901" s="56" t="s">
        <v>3607</v>
      </c>
      <c r="D901" s="39">
        <v>37.36</v>
      </c>
      <c r="E901" s="56" t="s">
        <v>3608</v>
      </c>
      <c r="F901" s="55" t="s">
        <v>3609</v>
      </c>
      <c r="G901" s="5">
        <f>IF(Estimation!$B$18="",0,IF(ISNUMBER(SEARCH(LOWER(Estimation!$B$18),F901)),1,0))</f>
        <v>0</v>
      </c>
      <c r="H901" s="5" t="str">
        <f>IF(G901=1,SUM($G$4:G901),"")</f>
        <v/>
      </c>
    </row>
    <row r="902" spans="1:8" x14ac:dyDescent="0.35">
      <c r="A902" s="56" t="s">
        <v>2858</v>
      </c>
      <c r="B902" s="56" t="s">
        <v>3610</v>
      </c>
      <c r="C902" s="56" t="s">
        <v>3611</v>
      </c>
      <c r="D902" s="39">
        <v>11.49</v>
      </c>
      <c r="E902" s="56" t="s">
        <v>3612</v>
      </c>
      <c r="F902" s="55" t="s">
        <v>3613</v>
      </c>
      <c r="G902" s="5">
        <f>IF(Estimation!$B$18="",0,IF(ISNUMBER(SEARCH(LOWER(Estimation!$B$18),F902)),1,0))</f>
        <v>0</v>
      </c>
      <c r="H902" s="5" t="str">
        <f>IF(G902=1,SUM($G$4:G902),"")</f>
        <v/>
      </c>
    </row>
    <row r="903" spans="1:8" x14ac:dyDescent="0.35">
      <c r="A903" s="56" t="s">
        <v>2858</v>
      </c>
      <c r="B903" s="56" t="s">
        <v>3614</v>
      </c>
      <c r="C903" s="56" t="s">
        <v>3615</v>
      </c>
      <c r="D903" s="39">
        <v>99.27</v>
      </c>
      <c r="E903" s="56" t="s">
        <v>3616</v>
      </c>
      <c r="F903" s="55" t="s">
        <v>3617</v>
      </c>
      <c r="G903" s="5">
        <f>IF(Estimation!$B$18="",0,IF(ISNUMBER(SEARCH(LOWER(Estimation!$B$18),F903)),1,0))</f>
        <v>0</v>
      </c>
      <c r="H903" s="5" t="str">
        <f>IF(G903=1,SUM($G$4:G903),"")</f>
        <v/>
      </c>
    </row>
    <row r="904" spans="1:8" x14ac:dyDescent="0.35">
      <c r="A904" s="56" t="s">
        <v>2858</v>
      </c>
      <c r="B904" s="56" t="s">
        <v>3618</v>
      </c>
      <c r="C904" s="56" t="s">
        <v>3619</v>
      </c>
      <c r="D904" s="39">
        <v>37.36</v>
      </c>
      <c r="E904" s="56" t="s">
        <v>3620</v>
      </c>
      <c r="F904" s="55" t="s">
        <v>3621</v>
      </c>
      <c r="G904" s="5">
        <f>IF(Estimation!$B$18="",0,IF(ISNUMBER(SEARCH(LOWER(Estimation!$B$18),F904)),1,0))</f>
        <v>0</v>
      </c>
      <c r="H904" s="5" t="str">
        <f>IF(G904=1,SUM($G$4:G904),"")</f>
        <v/>
      </c>
    </row>
    <row r="905" spans="1:8" x14ac:dyDescent="0.35">
      <c r="A905" s="56" t="s">
        <v>2858</v>
      </c>
      <c r="B905" s="56" t="s">
        <v>3622</v>
      </c>
      <c r="C905" s="56" t="s">
        <v>3623</v>
      </c>
      <c r="D905" s="39">
        <v>37.36</v>
      </c>
      <c r="E905" s="56" t="s">
        <v>3624</v>
      </c>
      <c r="F905" s="55" t="s">
        <v>3625</v>
      </c>
      <c r="G905" s="5">
        <f>IF(Estimation!$B$18="",0,IF(ISNUMBER(SEARCH(LOWER(Estimation!$B$18),F905)),1,0))</f>
        <v>0</v>
      </c>
      <c r="H905" s="5" t="str">
        <f>IF(G905=1,SUM($G$4:G905),"")</f>
        <v/>
      </c>
    </row>
    <row r="906" spans="1:8" x14ac:dyDescent="0.35">
      <c r="A906" s="56" t="s">
        <v>2858</v>
      </c>
      <c r="B906" s="56" t="s">
        <v>3626</v>
      </c>
      <c r="C906" s="56" t="s">
        <v>3627</v>
      </c>
      <c r="D906" s="39">
        <v>50.15</v>
      </c>
      <c r="E906" s="56" t="s">
        <v>3628</v>
      </c>
      <c r="F906" s="55" t="s">
        <v>3629</v>
      </c>
      <c r="G906" s="5">
        <f>IF(Estimation!$B$18="",0,IF(ISNUMBER(SEARCH(LOWER(Estimation!$B$18),F906)),1,0))</f>
        <v>0</v>
      </c>
      <c r="H906" s="5" t="str">
        <f>IF(G906=1,SUM($G$4:G906),"")</f>
        <v/>
      </c>
    </row>
    <row r="907" spans="1:8" x14ac:dyDescent="0.35">
      <c r="A907" s="56" t="s">
        <v>2858</v>
      </c>
      <c r="B907" s="56" t="s">
        <v>3630</v>
      </c>
      <c r="C907" s="56" t="s">
        <v>3631</v>
      </c>
      <c r="D907" s="39">
        <v>28.74</v>
      </c>
      <c r="E907" s="56" t="s">
        <v>3632</v>
      </c>
      <c r="F907" s="55" t="s">
        <v>3633</v>
      </c>
      <c r="G907" s="5">
        <f>IF(Estimation!$B$18="",0,IF(ISNUMBER(SEARCH(LOWER(Estimation!$B$18),F907)),1,0))</f>
        <v>0</v>
      </c>
      <c r="H907" s="5" t="str">
        <f>IF(G907=1,SUM($G$4:G907),"")</f>
        <v/>
      </c>
    </row>
    <row r="908" spans="1:8" x14ac:dyDescent="0.35">
      <c r="A908" s="56" t="s">
        <v>2858</v>
      </c>
      <c r="B908" s="56" t="s">
        <v>3634</v>
      </c>
      <c r="C908" s="56" t="s">
        <v>3635</v>
      </c>
      <c r="D908" s="39">
        <v>36.049999999999997</v>
      </c>
      <c r="E908" s="56" t="s">
        <v>3636</v>
      </c>
      <c r="F908" s="55" t="s">
        <v>3637</v>
      </c>
      <c r="G908" s="5">
        <f>IF(Estimation!$B$18="",0,IF(ISNUMBER(SEARCH(LOWER(Estimation!$B$18),F908)),1,0))</f>
        <v>0</v>
      </c>
      <c r="H908" s="5" t="str">
        <f>IF(G908=1,SUM($G$4:G908),"")</f>
        <v/>
      </c>
    </row>
    <row r="909" spans="1:8" x14ac:dyDescent="0.35">
      <c r="A909" s="56" t="s">
        <v>2858</v>
      </c>
      <c r="B909" s="56" t="s">
        <v>3638</v>
      </c>
      <c r="C909" s="56" t="s">
        <v>3639</v>
      </c>
      <c r="D909" s="39">
        <v>143.69</v>
      </c>
      <c r="E909" s="56" t="s">
        <v>3640</v>
      </c>
      <c r="F909" s="55" t="s">
        <v>3641</v>
      </c>
      <c r="G909" s="5">
        <f>IF(Estimation!$B$18="",0,IF(ISNUMBER(SEARCH(LOWER(Estimation!$B$18),F909)),1,0))</f>
        <v>0</v>
      </c>
      <c r="H909" s="5" t="str">
        <f>IF(G909=1,SUM($G$4:G909),"")</f>
        <v/>
      </c>
    </row>
    <row r="910" spans="1:8" x14ac:dyDescent="0.35">
      <c r="A910" s="56" t="s">
        <v>2858</v>
      </c>
      <c r="B910" s="56" t="s">
        <v>3642</v>
      </c>
      <c r="C910" s="56" t="s">
        <v>3643</v>
      </c>
      <c r="D910" s="39">
        <v>114.94</v>
      </c>
      <c r="E910" s="56" t="s">
        <v>3644</v>
      </c>
      <c r="F910" s="55" t="s">
        <v>3645</v>
      </c>
      <c r="G910" s="5">
        <f>IF(Estimation!$B$18="",0,IF(ISNUMBER(SEARCH(LOWER(Estimation!$B$18),F910)),1,0))</f>
        <v>0</v>
      </c>
      <c r="H910" s="5" t="str">
        <f>IF(G910=1,SUM($G$4:G910),"")</f>
        <v/>
      </c>
    </row>
    <row r="911" spans="1:8" x14ac:dyDescent="0.35">
      <c r="A911" s="56" t="s">
        <v>2858</v>
      </c>
      <c r="B911" s="56" t="s">
        <v>3646</v>
      </c>
      <c r="C911" s="56" t="s">
        <v>3647</v>
      </c>
      <c r="D911" s="39">
        <v>13.58</v>
      </c>
      <c r="E911" s="56" t="s">
        <v>3648</v>
      </c>
      <c r="F911" s="55" t="s">
        <v>3649</v>
      </c>
      <c r="G911" s="5">
        <f>IF(Estimation!$B$18="",0,IF(ISNUMBER(SEARCH(LOWER(Estimation!$B$18),F911)),1,0))</f>
        <v>0</v>
      </c>
      <c r="H911" s="5" t="str">
        <f>IF(G911=1,SUM($G$4:G911),"")</f>
        <v/>
      </c>
    </row>
    <row r="912" spans="1:8" x14ac:dyDescent="0.35">
      <c r="A912" s="56" t="s">
        <v>2858</v>
      </c>
      <c r="B912" s="56" t="s">
        <v>3650</v>
      </c>
      <c r="C912" s="56" t="s">
        <v>3651</v>
      </c>
      <c r="D912" s="39">
        <v>13.58</v>
      </c>
      <c r="E912" s="56" t="s">
        <v>3652</v>
      </c>
      <c r="F912" s="55" t="s">
        <v>3653</v>
      </c>
      <c r="G912" s="5">
        <f>IF(Estimation!$B$18="",0,IF(ISNUMBER(SEARCH(LOWER(Estimation!$B$18),F912)),1,0))</f>
        <v>0</v>
      </c>
      <c r="H912" s="5" t="str">
        <f>IF(G912=1,SUM($G$4:G912),"")</f>
        <v/>
      </c>
    </row>
    <row r="913" spans="1:8" x14ac:dyDescent="0.35">
      <c r="A913" s="56" t="s">
        <v>2858</v>
      </c>
      <c r="B913" s="56" t="s">
        <v>3654</v>
      </c>
      <c r="C913" s="56" t="s">
        <v>3655</v>
      </c>
      <c r="D913" s="39">
        <v>17.239999999999998</v>
      </c>
      <c r="E913" s="56" t="s">
        <v>3656</v>
      </c>
      <c r="F913" s="55" t="s">
        <v>3657</v>
      </c>
      <c r="G913" s="5">
        <f>IF(Estimation!$B$18="",0,IF(ISNUMBER(SEARCH(LOWER(Estimation!$B$18),F913)),1,0))</f>
        <v>0</v>
      </c>
      <c r="H913" s="5" t="str">
        <f>IF(G913=1,SUM($G$4:G913),"")</f>
        <v/>
      </c>
    </row>
    <row r="914" spans="1:8" x14ac:dyDescent="0.35">
      <c r="A914" s="56" t="s">
        <v>2858</v>
      </c>
      <c r="B914" s="56" t="s">
        <v>3658</v>
      </c>
      <c r="C914" s="56" t="s">
        <v>3659</v>
      </c>
      <c r="D914" s="39">
        <v>107.36</v>
      </c>
      <c r="E914" s="56" t="s">
        <v>3660</v>
      </c>
      <c r="F914" s="55" t="s">
        <v>3661</v>
      </c>
      <c r="G914" s="5">
        <f>IF(Estimation!$B$18="",0,IF(ISNUMBER(SEARCH(LOWER(Estimation!$B$18),F914)),1,0))</f>
        <v>0</v>
      </c>
      <c r="H914" s="5" t="str">
        <f>IF(G914=1,SUM($G$4:G914),"")</f>
        <v/>
      </c>
    </row>
    <row r="915" spans="1:8" x14ac:dyDescent="0.35">
      <c r="A915" s="56" t="s">
        <v>2858</v>
      </c>
      <c r="B915" s="56" t="s">
        <v>3662</v>
      </c>
      <c r="C915" s="56" t="s">
        <v>3663</v>
      </c>
      <c r="D915" s="39">
        <v>287.37</v>
      </c>
      <c r="E915" s="56" t="s">
        <v>3664</v>
      </c>
      <c r="F915" s="55" t="s">
        <v>3665</v>
      </c>
      <c r="G915" s="5">
        <f>IF(Estimation!$B$18="",0,IF(ISNUMBER(SEARCH(LOWER(Estimation!$B$18),F915)),1,0))</f>
        <v>0</v>
      </c>
      <c r="H915" s="5" t="str">
        <f>IF(G915=1,SUM($G$4:G915),"")</f>
        <v/>
      </c>
    </row>
    <row r="916" spans="1:8" x14ac:dyDescent="0.35">
      <c r="A916" s="56" t="s">
        <v>2858</v>
      </c>
      <c r="B916" s="56" t="s">
        <v>3666</v>
      </c>
      <c r="C916" s="56" t="s">
        <v>3667</v>
      </c>
      <c r="D916" s="39">
        <v>114.94</v>
      </c>
      <c r="E916" s="56" t="s">
        <v>3668</v>
      </c>
      <c r="F916" s="55" t="s">
        <v>3669</v>
      </c>
      <c r="G916" s="5">
        <f>IF(Estimation!$B$18="",0,IF(ISNUMBER(SEARCH(LOWER(Estimation!$B$18),F916)),1,0))</f>
        <v>0</v>
      </c>
      <c r="H916" s="5" t="str">
        <f>IF(G916=1,SUM($G$4:G916),"")</f>
        <v/>
      </c>
    </row>
    <row r="917" spans="1:8" x14ac:dyDescent="0.35">
      <c r="A917" s="56" t="s">
        <v>2858</v>
      </c>
      <c r="B917" s="56" t="s">
        <v>3670</v>
      </c>
      <c r="C917" s="56" t="s">
        <v>3671</v>
      </c>
      <c r="D917" s="39">
        <v>67.930000000000007</v>
      </c>
      <c r="E917" s="56" t="s">
        <v>3672</v>
      </c>
      <c r="F917" s="55" t="s">
        <v>3673</v>
      </c>
      <c r="G917" s="5">
        <f>IF(Estimation!$B$18="",0,IF(ISNUMBER(SEARCH(LOWER(Estimation!$B$18),F917)),1,0))</f>
        <v>0</v>
      </c>
      <c r="H917" s="5" t="str">
        <f>IF(G917=1,SUM($G$4:G917),"")</f>
        <v/>
      </c>
    </row>
    <row r="918" spans="1:8" x14ac:dyDescent="0.35">
      <c r="A918" s="56" t="s">
        <v>2858</v>
      </c>
      <c r="B918" s="56" t="s">
        <v>3674</v>
      </c>
      <c r="C918" s="56" t="s">
        <v>3675</v>
      </c>
      <c r="D918" s="39">
        <v>339.09</v>
      </c>
      <c r="E918" s="56" t="s">
        <v>3676</v>
      </c>
      <c r="F918" s="55" t="s">
        <v>3677</v>
      </c>
      <c r="G918" s="5">
        <f>IF(Estimation!$B$18="",0,IF(ISNUMBER(SEARCH(LOWER(Estimation!$B$18),F918)),1,0))</f>
        <v>0</v>
      </c>
      <c r="H918" s="5" t="str">
        <f>IF(G918=1,SUM($G$4:G918),"")</f>
        <v/>
      </c>
    </row>
    <row r="919" spans="1:8" x14ac:dyDescent="0.35">
      <c r="A919" s="56" t="s">
        <v>2858</v>
      </c>
      <c r="B919" s="56" t="s">
        <v>3678</v>
      </c>
      <c r="C919" s="56" t="s">
        <v>3679</v>
      </c>
      <c r="D919" s="39">
        <v>396.04</v>
      </c>
      <c r="E919" s="56" t="s">
        <v>3680</v>
      </c>
      <c r="F919" s="55" t="s">
        <v>3681</v>
      </c>
      <c r="G919" s="5">
        <f>IF(Estimation!$B$18="",0,IF(ISNUMBER(SEARCH(LOWER(Estimation!$B$18),F919)),1,0))</f>
        <v>0</v>
      </c>
      <c r="H919" s="5" t="str">
        <f>IF(G919=1,SUM($G$4:G919),"")</f>
        <v/>
      </c>
    </row>
    <row r="920" spans="1:8" x14ac:dyDescent="0.35">
      <c r="A920" s="56" t="s">
        <v>2858</v>
      </c>
      <c r="B920" s="56" t="s">
        <v>3682</v>
      </c>
      <c r="C920" s="56" t="s">
        <v>3683</v>
      </c>
      <c r="D920" s="39">
        <v>467.1</v>
      </c>
      <c r="E920" s="56" t="s">
        <v>3684</v>
      </c>
      <c r="F920" s="55" t="s">
        <v>3685</v>
      </c>
      <c r="G920" s="5">
        <f>IF(Estimation!$B$18="",0,IF(ISNUMBER(SEARCH(LOWER(Estimation!$B$18),F920)),1,0))</f>
        <v>0</v>
      </c>
      <c r="H920" s="5" t="str">
        <f>IF(G920=1,SUM($G$4:G920),"")</f>
        <v/>
      </c>
    </row>
    <row r="921" spans="1:8" x14ac:dyDescent="0.35">
      <c r="A921" s="56" t="s">
        <v>2858</v>
      </c>
      <c r="B921" s="56" t="s">
        <v>3686</v>
      </c>
      <c r="C921" s="56" t="s">
        <v>3687</v>
      </c>
      <c r="D921" s="39">
        <v>14.38</v>
      </c>
      <c r="E921" s="56" t="s">
        <v>3688</v>
      </c>
      <c r="F921" s="55" t="s">
        <v>3689</v>
      </c>
      <c r="G921" s="5">
        <f>IF(Estimation!$B$18="",0,IF(ISNUMBER(SEARCH(LOWER(Estimation!$B$18),F921)),1,0))</f>
        <v>0</v>
      </c>
      <c r="H921" s="5" t="str">
        <f>IF(G921=1,SUM($G$4:G921),"")</f>
        <v/>
      </c>
    </row>
    <row r="922" spans="1:8" x14ac:dyDescent="0.35">
      <c r="A922" s="56" t="s">
        <v>2858</v>
      </c>
      <c r="B922" s="56" t="s">
        <v>3690</v>
      </c>
      <c r="C922" s="56" t="s">
        <v>3691</v>
      </c>
      <c r="D922" s="39">
        <v>64.790000000000006</v>
      </c>
      <c r="E922" s="56" t="s">
        <v>3692</v>
      </c>
      <c r="F922" s="55" t="s">
        <v>3693</v>
      </c>
      <c r="G922" s="5">
        <f>IF(Estimation!$B$18="",0,IF(ISNUMBER(SEARCH(LOWER(Estimation!$B$18),F922)),1,0))</f>
        <v>0</v>
      </c>
      <c r="H922" s="5" t="str">
        <f>IF(G922=1,SUM($G$4:G922),"")</f>
        <v/>
      </c>
    </row>
    <row r="923" spans="1:8" x14ac:dyDescent="0.35">
      <c r="A923" s="56" t="s">
        <v>2858</v>
      </c>
      <c r="B923" s="56" t="s">
        <v>3694</v>
      </c>
      <c r="C923" s="56" t="s">
        <v>3695</v>
      </c>
      <c r="D923" s="39">
        <v>790.25</v>
      </c>
      <c r="E923" s="56" t="s">
        <v>3696</v>
      </c>
      <c r="F923" s="55" t="s">
        <v>3697</v>
      </c>
      <c r="G923" s="5">
        <f>IF(Estimation!$B$18="",0,IF(ISNUMBER(SEARCH(LOWER(Estimation!$B$18),F923)),1,0))</f>
        <v>0</v>
      </c>
      <c r="H923" s="5" t="str">
        <f>IF(G923=1,SUM($G$4:G923),"")</f>
        <v/>
      </c>
    </row>
    <row r="924" spans="1:8" x14ac:dyDescent="0.35">
      <c r="A924" s="56" t="s">
        <v>2858</v>
      </c>
      <c r="B924" s="56" t="s">
        <v>3698</v>
      </c>
      <c r="C924" s="56" t="s">
        <v>3699</v>
      </c>
      <c r="D924" s="39">
        <v>568.46</v>
      </c>
      <c r="E924" s="56" t="s">
        <v>3700</v>
      </c>
      <c r="F924" s="55" t="s">
        <v>3701</v>
      </c>
      <c r="G924" s="5">
        <f>IF(Estimation!$B$18="",0,IF(ISNUMBER(SEARCH(LOWER(Estimation!$B$18),F924)),1,0))</f>
        <v>0</v>
      </c>
      <c r="H924" s="5" t="str">
        <f>IF(G924=1,SUM($G$4:G924),"")</f>
        <v/>
      </c>
    </row>
    <row r="925" spans="1:8" x14ac:dyDescent="0.35">
      <c r="A925" s="56" t="s">
        <v>2858</v>
      </c>
      <c r="B925" s="56" t="s">
        <v>3702</v>
      </c>
      <c r="C925" s="56" t="s">
        <v>3703</v>
      </c>
      <c r="D925" s="39">
        <v>568.46</v>
      </c>
      <c r="E925" s="56" t="s">
        <v>3704</v>
      </c>
      <c r="F925" s="55" t="s">
        <v>3705</v>
      </c>
      <c r="G925" s="5">
        <f>IF(Estimation!$B$18="",0,IF(ISNUMBER(SEARCH(LOWER(Estimation!$B$18),F925)),1,0))</f>
        <v>0</v>
      </c>
      <c r="H925" s="5" t="str">
        <f>IF(G925=1,SUM($G$4:G925),"")</f>
        <v/>
      </c>
    </row>
    <row r="926" spans="1:8" x14ac:dyDescent="0.35">
      <c r="A926" s="56" t="s">
        <v>2858</v>
      </c>
      <c r="B926" s="56" t="s">
        <v>3706</v>
      </c>
      <c r="C926" s="56" t="s">
        <v>3707</v>
      </c>
      <c r="D926" s="39">
        <v>474.16</v>
      </c>
      <c r="E926" s="56" t="s">
        <v>3708</v>
      </c>
      <c r="F926" s="55" t="s">
        <v>3709</v>
      </c>
      <c r="G926" s="5">
        <f>IF(Estimation!$B$18="",0,IF(ISNUMBER(SEARCH(LOWER(Estimation!$B$18),F926)),1,0))</f>
        <v>0</v>
      </c>
      <c r="H926" s="5" t="str">
        <f>IF(G926=1,SUM($G$4:G926),"")</f>
        <v/>
      </c>
    </row>
    <row r="927" spans="1:8" x14ac:dyDescent="0.35">
      <c r="A927" s="56" t="s">
        <v>2858</v>
      </c>
      <c r="B927" s="56" t="s">
        <v>3710</v>
      </c>
      <c r="C927" s="56" t="s">
        <v>3711</v>
      </c>
      <c r="D927" s="39">
        <v>92.14</v>
      </c>
      <c r="E927" s="56" t="s">
        <v>3712</v>
      </c>
      <c r="F927" s="55" t="s">
        <v>3713</v>
      </c>
      <c r="G927" s="5">
        <f>IF(Estimation!$B$18="",0,IF(ISNUMBER(SEARCH(LOWER(Estimation!$B$18),F927)),1,0))</f>
        <v>0</v>
      </c>
      <c r="H927" s="5" t="str">
        <f>IF(G927=1,SUM($G$4:G927),"")</f>
        <v/>
      </c>
    </row>
    <row r="928" spans="1:8" x14ac:dyDescent="0.35">
      <c r="A928" s="56" t="s">
        <v>2858</v>
      </c>
      <c r="B928" s="56" t="s">
        <v>3714</v>
      </c>
      <c r="C928" s="56" t="s">
        <v>3715</v>
      </c>
      <c r="D928" s="39">
        <v>80.62</v>
      </c>
      <c r="E928" s="56" t="s">
        <v>3716</v>
      </c>
      <c r="F928" s="55" t="s">
        <v>3717</v>
      </c>
      <c r="G928" s="5">
        <f>IF(Estimation!$B$18="",0,IF(ISNUMBER(SEARCH(LOWER(Estimation!$B$18),F928)),1,0))</f>
        <v>0</v>
      </c>
      <c r="H928" s="5" t="str">
        <f>IF(G928=1,SUM($G$4:G928),"")</f>
        <v/>
      </c>
    </row>
    <row r="929" spans="1:8" x14ac:dyDescent="0.35">
      <c r="A929" s="56" t="s">
        <v>2858</v>
      </c>
      <c r="B929" s="56" t="s">
        <v>3718</v>
      </c>
      <c r="C929" s="56" t="s">
        <v>3719</v>
      </c>
      <c r="D929" s="39">
        <v>80.62</v>
      </c>
      <c r="E929" s="56" t="s">
        <v>3720</v>
      </c>
      <c r="F929" s="55" t="s">
        <v>3721</v>
      </c>
      <c r="G929" s="5">
        <f>IF(Estimation!$B$18="",0,IF(ISNUMBER(SEARCH(LOWER(Estimation!$B$18),F929)),1,0))</f>
        <v>0</v>
      </c>
      <c r="H929" s="5" t="str">
        <f>IF(G929=1,SUM($G$4:G929),"")</f>
        <v/>
      </c>
    </row>
    <row r="930" spans="1:8" x14ac:dyDescent="0.35">
      <c r="A930" s="56" t="s">
        <v>2858</v>
      </c>
      <c r="B930" s="56" t="s">
        <v>3722</v>
      </c>
      <c r="C930" s="56" t="s">
        <v>3723</v>
      </c>
      <c r="D930" s="39">
        <v>250.78</v>
      </c>
      <c r="E930" s="56" t="s">
        <v>3724</v>
      </c>
      <c r="F930" s="55" t="s">
        <v>3725</v>
      </c>
      <c r="G930" s="5">
        <f>IF(Estimation!$B$18="",0,IF(ISNUMBER(SEARCH(LOWER(Estimation!$B$18),F930)),1,0))</f>
        <v>0</v>
      </c>
      <c r="H930" s="5" t="str">
        <f>IF(G930=1,SUM($G$4:G930),"")</f>
        <v/>
      </c>
    </row>
    <row r="931" spans="1:8" x14ac:dyDescent="0.35">
      <c r="A931" s="56" t="s">
        <v>2858</v>
      </c>
      <c r="B931" s="56" t="s">
        <v>3726</v>
      </c>
      <c r="C931" s="56" t="s">
        <v>3727</v>
      </c>
      <c r="D931" s="39">
        <v>135.84</v>
      </c>
      <c r="E931" s="56" t="s">
        <v>3728</v>
      </c>
      <c r="F931" s="55" t="s">
        <v>3729</v>
      </c>
      <c r="G931" s="5">
        <f>IF(Estimation!$B$18="",0,IF(ISNUMBER(SEARCH(LOWER(Estimation!$B$18),F931)),1,0))</f>
        <v>0</v>
      </c>
      <c r="H931" s="5" t="str">
        <f>IF(G931=1,SUM($G$4:G931),"")</f>
        <v/>
      </c>
    </row>
    <row r="932" spans="1:8" x14ac:dyDescent="0.35">
      <c r="A932" s="56" t="s">
        <v>2858</v>
      </c>
      <c r="B932" s="56" t="s">
        <v>3730</v>
      </c>
      <c r="C932" s="56" t="s">
        <v>3731</v>
      </c>
      <c r="D932" s="39">
        <v>92.14</v>
      </c>
      <c r="E932" s="56" t="s">
        <v>3732</v>
      </c>
      <c r="F932" s="55" t="s">
        <v>3733</v>
      </c>
      <c r="G932" s="5">
        <f>IF(Estimation!$B$18="",0,IF(ISNUMBER(SEARCH(LOWER(Estimation!$B$18),F932)),1,0))</f>
        <v>0</v>
      </c>
      <c r="H932" s="5" t="str">
        <f>IF(G932=1,SUM($G$4:G932),"")</f>
        <v/>
      </c>
    </row>
    <row r="933" spans="1:8" x14ac:dyDescent="0.35">
      <c r="A933" s="56" t="s">
        <v>2858</v>
      </c>
      <c r="B933" s="56" t="s">
        <v>3734</v>
      </c>
      <c r="C933" s="56" t="s">
        <v>3735</v>
      </c>
      <c r="D933" s="39">
        <v>80.62</v>
      </c>
      <c r="E933" s="56" t="s">
        <v>3736</v>
      </c>
      <c r="F933" s="55" t="s">
        <v>3737</v>
      </c>
      <c r="G933" s="5">
        <f>IF(Estimation!$B$18="",0,IF(ISNUMBER(SEARCH(LOWER(Estimation!$B$18),F933)),1,0))</f>
        <v>0</v>
      </c>
      <c r="H933" s="5" t="str">
        <f>IF(G933=1,SUM($G$4:G933),"")</f>
        <v/>
      </c>
    </row>
    <row r="934" spans="1:8" x14ac:dyDescent="0.35">
      <c r="A934" s="56" t="s">
        <v>2858</v>
      </c>
      <c r="B934" s="56" t="s">
        <v>3738</v>
      </c>
      <c r="C934" s="56" t="s">
        <v>3739</v>
      </c>
      <c r="D934" s="39">
        <v>80.62</v>
      </c>
      <c r="E934" s="56" t="s">
        <v>3740</v>
      </c>
      <c r="F934" s="55" t="s">
        <v>3741</v>
      </c>
      <c r="G934" s="5">
        <f>IF(Estimation!$B$18="",0,IF(ISNUMBER(SEARCH(LOWER(Estimation!$B$18),F934)),1,0))</f>
        <v>0</v>
      </c>
      <c r="H934" s="5" t="str">
        <f>IF(G934=1,SUM($G$4:G934),"")</f>
        <v/>
      </c>
    </row>
    <row r="935" spans="1:8" x14ac:dyDescent="0.35">
      <c r="A935" s="56" t="s">
        <v>2858</v>
      </c>
      <c r="B935" s="56" t="s">
        <v>3742</v>
      </c>
      <c r="C935" s="56" t="s">
        <v>3743</v>
      </c>
      <c r="D935" s="39">
        <v>22.99</v>
      </c>
      <c r="E935" s="56" t="s">
        <v>3744</v>
      </c>
      <c r="F935" s="55" t="s">
        <v>3745</v>
      </c>
      <c r="G935" s="5">
        <f>IF(Estimation!$B$18="",0,IF(ISNUMBER(SEARCH(LOWER(Estimation!$B$18),F935)),1,0))</f>
        <v>0</v>
      </c>
      <c r="H935" s="5" t="str">
        <f>IF(G935=1,SUM($G$4:G935),"")</f>
        <v/>
      </c>
    </row>
    <row r="936" spans="1:8" x14ac:dyDescent="0.35">
      <c r="A936" s="56" t="s">
        <v>2858</v>
      </c>
      <c r="B936" s="56" t="s">
        <v>3746</v>
      </c>
      <c r="C936" s="56" t="s">
        <v>3747</v>
      </c>
      <c r="D936" s="39">
        <v>8.7899999999999991</v>
      </c>
      <c r="E936" s="56" t="s">
        <v>3748</v>
      </c>
      <c r="F936" s="55" t="s">
        <v>3749</v>
      </c>
      <c r="G936" s="5">
        <f>IF(Estimation!$B$18="",0,IF(ISNUMBER(SEARCH(LOWER(Estimation!$B$18),F936)),1,0))</f>
        <v>0</v>
      </c>
      <c r="H936" s="5" t="str">
        <f>IF(G936=1,SUM($G$4:G936),"")</f>
        <v/>
      </c>
    </row>
    <row r="937" spans="1:8" x14ac:dyDescent="0.35">
      <c r="A937" s="56" t="s">
        <v>2858</v>
      </c>
      <c r="B937" s="56" t="s">
        <v>3750</v>
      </c>
      <c r="C937" s="56" t="s">
        <v>3751</v>
      </c>
      <c r="D937" s="39">
        <v>8.7899999999999991</v>
      </c>
      <c r="E937" s="56" t="s">
        <v>3752</v>
      </c>
      <c r="F937" s="55" t="s">
        <v>3753</v>
      </c>
      <c r="G937" s="5">
        <f>IF(Estimation!$B$18="",0,IF(ISNUMBER(SEARCH(LOWER(Estimation!$B$18),F937)),1,0))</f>
        <v>0</v>
      </c>
      <c r="H937" s="5" t="str">
        <f>IF(G937=1,SUM($G$4:G937),"")</f>
        <v/>
      </c>
    </row>
    <row r="938" spans="1:8" x14ac:dyDescent="0.35">
      <c r="A938" s="56" t="s">
        <v>2858</v>
      </c>
      <c r="B938" s="56" t="s">
        <v>3754</v>
      </c>
      <c r="C938" s="56" t="s">
        <v>3755</v>
      </c>
      <c r="D938" s="39">
        <v>143.69</v>
      </c>
      <c r="E938" s="56" t="s">
        <v>3756</v>
      </c>
      <c r="F938" s="55" t="s">
        <v>3757</v>
      </c>
      <c r="G938" s="5">
        <f>IF(Estimation!$B$18="",0,IF(ISNUMBER(SEARCH(LOWER(Estimation!$B$18),F938)),1,0))</f>
        <v>0</v>
      </c>
      <c r="H938" s="5" t="str">
        <f>IF(G938=1,SUM($G$4:G938),"")</f>
        <v/>
      </c>
    </row>
    <row r="939" spans="1:8" x14ac:dyDescent="0.35">
      <c r="A939" s="56" t="s">
        <v>2858</v>
      </c>
      <c r="B939" s="56" t="s">
        <v>3758</v>
      </c>
      <c r="C939" s="56" t="s">
        <v>3759</v>
      </c>
      <c r="D939" s="39">
        <v>86.38</v>
      </c>
      <c r="E939" s="56" t="s">
        <v>3760</v>
      </c>
      <c r="F939" s="55" t="s">
        <v>3761</v>
      </c>
      <c r="G939" s="5">
        <f>IF(Estimation!$B$18="",0,IF(ISNUMBER(SEARCH(LOWER(Estimation!$B$18),F939)),1,0))</f>
        <v>0</v>
      </c>
      <c r="H939" s="5" t="str">
        <f>IF(G939=1,SUM($G$4:G939),"")</f>
        <v/>
      </c>
    </row>
    <row r="940" spans="1:8" x14ac:dyDescent="0.35">
      <c r="A940" s="56" t="s">
        <v>2858</v>
      </c>
      <c r="B940" s="56" t="s">
        <v>3762</v>
      </c>
      <c r="C940" s="56" t="s">
        <v>3763</v>
      </c>
      <c r="D940" s="39">
        <v>86.38</v>
      </c>
      <c r="E940" s="56" t="s">
        <v>3764</v>
      </c>
      <c r="F940" s="55" t="s">
        <v>3765</v>
      </c>
      <c r="G940" s="5">
        <f>IF(Estimation!$B$18="",0,IF(ISNUMBER(SEARCH(LOWER(Estimation!$B$18),F940)),1,0))</f>
        <v>0</v>
      </c>
      <c r="H940" s="5" t="str">
        <f>IF(G940=1,SUM($G$4:G940),"")</f>
        <v/>
      </c>
    </row>
    <row r="941" spans="1:8" x14ac:dyDescent="0.35">
      <c r="A941" s="56" t="s">
        <v>2858</v>
      </c>
      <c r="B941" s="56" t="s">
        <v>3766</v>
      </c>
      <c r="C941" s="56" t="s">
        <v>3767</v>
      </c>
      <c r="D941" s="39">
        <v>107.62</v>
      </c>
      <c r="E941" s="56" t="s">
        <v>3768</v>
      </c>
      <c r="F941" s="55" t="s">
        <v>3769</v>
      </c>
      <c r="G941" s="5">
        <f>IF(Estimation!$B$18="",0,IF(ISNUMBER(SEARCH(LOWER(Estimation!$B$18),F941)),1,0))</f>
        <v>0</v>
      </c>
      <c r="H941" s="5" t="str">
        <f>IF(G941=1,SUM($G$4:G941),"")</f>
        <v/>
      </c>
    </row>
    <row r="942" spans="1:8" x14ac:dyDescent="0.35">
      <c r="A942" s="56" t="s">
        <v>2858</v>
      </c>
      <c r="B942" s="56" t="s">
        <v>3770</v>
      </c>
      <c r="C942" s="56" t="s">
        <v>3771</v>
      </c>
      <c r="D942" s="39">
        <v>301.74</v>
      </c>
      <c r="E942" s="56" t="s">
        <v>3772</v>
      </c>
      <c r="F942" s="55" t="s">
        <v>3773</v>
      </c>
      <c r="G942" s="5">
        <f>IF(Estimation!$B$18="",0,IF(ISNUMBER(SEARCH(LOWER(Estimation!$B$18),F942)),1,0))</f>
        <v>0</v>
      </c>
      <c r="H942" s="5" t="str">
        <f>IF(G942=1,SUM($G$4:G942),"")</f>
        <v/>
      </c>
    </row>
    <row r="943" spans="1:8" x14ac:dyDescent="0.35">
      <c r="A943" s="56" t="s">
        <v>2858</v>
      </c>
      <c r="B943" s="56" t="s">
        <v>3774</v>
      </c>
      <c r="C943" s="56" t="s">
        <v>3775</v>
      </c>
      <c r="D943" s="39">
        <v>107.62</v>
      </c>
      <c r="E943" s="56" t="s">
        <v>3776</v>
      </c>
      <c r="F943" s="55" t="s">
        <v>3777</v>
      </c>
      <c r="G943" s="5">
        <f>IF(Estimation!$B$18="",0,IF(ISNUMBER(SEARCH(LOWER(Estimation!$B$18),F943)),1,0))</f>
        <v>0</v>
      </c>
      <c r="H943" s="5" t="str">
        <f>IF(G943=1,SUM($G$4:G943),"")</f>
        <v/>
      </c>
    </row>
    <row r="944" spans="1:8" x14ac:dyDescent="0.35">
      <c r="A944" s="56" t="s">
        <v>2858</v>
      </c>
      <c r="B944" s="56" t="s">
        <v>3778</v>
      </c>
      <c r="C944" s="56" t="s">
        <v>3779</v>
      </c>
      <c r="D944" s="39">
        <v>86.21</v>
      </c>
      <c r="E944" s="56" t="s">
        <v>3780</v>
      </c>
      <c r="F944" s="55" t="s">
        <v>3781</v>
      </c>
      <c r="G944" s="5">
        <f>IF(Estimation!$B$18="",0,IF(ISNUMBER(SEARCH(LOWER(Estimation!$B$18),F944)),1,0))</f>
        <v>0</v>
      </c>
      <c r="H944" s="5" t="str">
        <f>IF(G944=1,SUM($G$4:G944),"")</f>
        <v/>
      </c>
    </row>
    <row r="945" spans="1:8" x14ac:dyDescent="0.35">
      <c r="A945" s="56" t="s">
        <v>2858</v>
      </c>
      <c r="B945" s="56" t="s">
        <v>3782</v>
      </c>
      <c r="C945" s="56" t="s">
        <v>3783</v>
      </c>
      <c r="D945" s="39">
        <v>107.62</v>
      </c>
      <c r="E945" s="56" t="s">
        <v>3784</v>
      </c>
      <c r="F945" s="55" t="s">
        <v>3785</v>
      </c>
      <c r="G945" s="5">
        <f>IF(Estimation!$B$18="",0,IF(ISNUMBER(SEARCH(LOWER(Estimation!$B$18),F945)),1,0))</f>
        <v>0</v>
      </c>
      <c r="H945" s="5" t="str">
        <f>IF(G945=1,SUM($G$4:G945),"")</f>
        <v/>
      </c>
    </row>
    <row r="946" spans="1:8" x14ac:dyDescent="0.35">
      <c r="A946" s="56" t="s">
        <v>2858</v>
      </c>
      <c r="B946" s="56" t="s">
        <v>3786</v>
      </c>
      <c r="C946" s="56" t="s">
        <v>3787</v>
      </c>
      <c r="D946" s="39">
        <v>43.1</v>
      </c>
      <c r="E946" s="56" t="s">
        <v>3788</v>
      </c>
      <c r="F946" s="55" t="s">
        <v>3789</v>
      </c>
      <c r="G946" s="5">
        <f>IF(Estimation!$B$18="",0,IF(ISNUMBER(SEARCH(LOWER(Estimation!$B$18),F946)),1,0))</f>
        <v>0</v>
      </c>
      <c r="H946" s="5" t="str">
        <f>IF(G946=1,SUM($G$4:G946),"")</f>
        <v/>
      </c>
    </row>
    <row r="947" spans="1:8" x14ac:dyDescent="0.35">
      <c r="A947" s="56" t="s">
        <v>2858</v>
      </c>
      <c r="B947" s="56" t="s">
        <v>3790</v>
      </c>
      <c r="C947" s="56" t="s">
        <v>3791</v>
      </c>
      <c r="D947" s="39">
        <v>50.15</v>
      </c>
      <c r="E947" s="56" t="s">
        <v>3792</v>
      </c>
      <c r="F947" s="55" t="s">
        <v>3793</v>
      </c>
      <c r="G947" s="5">
        <f>IF(Estimation!$B$18="",0,IF(ISNUMBER(SEARCH(LOWER(Estimation!$B$18),F947)),1,0))</f>
        <v>0</v>
      </c>
      <c r="H947" s="5" t="str">
        <f>IF(G947=1,SUM($G$4:G947),"")</f>
        <v/>
      </c>
    </row>
    <row r="948" spans="1:8" x14ac:dyDescent="0.35">
      <c r="A948" s="56" t="s">
        <v>2858</v>
      </c>
      <c r="B948" s="56" t="s">
        <v>3794</v>
      </c>
      <c r="C948" s="56" t="s">
        <v>3795</v>
      </c>
      <c r="D948" s="39">
        <v>1436.82</v>
      </c>
      <c r="E948" s="56" t="s">
        <v>3796</v>
      </c>
      <c r="F948" s="55" t="s">
        <v>3797</v>
      </c>
      <c r="G948" s="5">
        <f>IF(Estimation!$B$18="",0,IF(ISNUMBER(SEARCH(LOWER(Estimation!$B$18),F948)),1,0))</f>
        <v>0</v>
      </c>
      <c r="H948" s="5" t="str">
        <f>IF(G948=1,SUM($G$4:G948),"")</f>
        <v/>
      </c>
    </row>
    <row r="949" spans="1:8" x14ac:dyDescent="0.35">
      <c r="A949" s="56" t="s">
        <v>2858</v>
      </c>
      <c r="B949" s="56" t="s">
        <v>3798</v>
      </c>
      <c r="C949" s="56" t="s">
        <v>3799</v>
      </c>
      <c r="D949" s="39">
        <v>92.14</v>
      </c>
      <c r="E949" s="56" t="s">
        <v>3800</v>
      </c>
      <c r="F949" s="55" t="s">
        <v>3801</v>
      </c>
      <c r="G949" s="5">
        <f>IF(Estimation!$B$18="",0,IF(ISNUMBER(SEARCH(LOWER(Estimation!$B$18),F949)),1,0))</f>
        <v>0</v>
      </c>
      <c r="H949" s="5" t="str">
        <f>IF(G949=1,SUM($G$4:G949),"")</f>
        <v/>
      </c>
    </row>
    <row r="950" spans="1:8" x14ac:dyDescent="0.35">
      <c r="A950" s="56" t="s">
        <v>2858</v>
      </c>
      <c r="B950" s="56" t="s">
        <v>3802</v>
      </c>
      <c r="C950" s="56" t="s">
        <v>3803</v>
      </c>
      <c r="D950" s="39">
        <v>85.25</v>
      </c>
      <c r="E950" s="56" t="s">
        <v>3804</v>
      </c>
      <c r="F950" s="55" t="s">
        <v>3805</v>
      </c>
      <c r="G950" s="5">
        <f>IF(Estimation!$B$18="",0,IF(ISNUMBER(SEARCH(LOWER(Estimation!$B$18),F950)),1,0))</f>
        <v>0</v>
      </c>
      <c r="H950" s="5" t="str">
        <f>IF(G950=1,SUM($G$4:G950),"")</f>
        <v/>
      </c>
    </row>
    <row r="951" spans="1:8" x14ac:dyDescent="0.35">
      <c r="A951" s="56" t="s">
        <v>2858</v>
      </c>
      <c r="B951" s="56" t="s">
        <v>3806</v>
      </c>
      <c r="C951" s="56" t="s">
        <v>3807</v>
      </c>
      <c r="D951" s="39">
        <v>80.62</v>
      </c>
      <c r="E951" s="56" t="s">
        <v>3808</v>
      </c>
      <c r="F951" s="55" t="s">
        <v>3809</v>
      </c>
      <c r="G951" s="5">
        <f>IF(Estimation!$B$18="",0,IF(ISNUMBER(SEARCH(LOWER(Estimation!$B$18),F951)),1,0))</f>
        <v>0</v>
      </c>
      <c r="H951" s="5" t="str">
        <f>IF(G951=1,SUM($G$4:G951),"")</f>
        <v/>
      </c>
    </row>
    <row r="952" spans="1:8" x14ac:dyDescent="0.35">
      <c r="A952" s="56" t="s">
        <v>2858</v>
      </c>
      <c r="B952" s="56" t="s">
        <v>3810</v>
      </c>
      <c r="C952" s="56" t="s">
        <v>3811</v>
      </c>
      <c r="D952" s="39">
        <v>244.26</v>
      </c>
      <c r="E952" s="56" t="s">
        <v>3812</v>
      </c>
      <c r="F952" s="55" t="s">
        <v>3813</v>
      </c>
      <c r="G952" s="5">
        <f>IF(Estimation!$B$18="",0,IF(ISNUMBER(SEARCH(LOWER(Estimation!$B$18),F952)),1,0))</f>
        <v>0</v>
      </c>
      <c r="H952" s="5" t="str">
        <f>IF(G952=1,SUM($G$4:G952),"")</f>
        <v/>
      </c>
    </row>
    <row r="953" spans="1:8" x14ac:dyDescent="0.35">
      <c r="A953" s="56" t="s">
        <v>2858</v>
      </c>
      <c r="B953" s="56" t="s">
        <v>3814</v>
      </c>
      <c r="C953" s="56" t="s">
        <v>3815</v>
      </c>
      <c r="D953" s="39">
        <v>316.10000000000002</v>
      </c>
      <c r="E953" s="56" t="s">
        <v>3816</v>
      </c>
      <c r="F953" s="55" t="s">
        <v>3817</v>
      </c>
      <c r="G953" s="5">
        <f>IF(Estimation!$B$18="",0,IF(ISNUMBER(SEARCH(LOWER(Estimation!$B$18),F953)),1,0))</f>
        <v>0</v>
      </c>
      <c r="H953" s="5" t="str">
        <f>IF(G953=1,SUM($G$4:G953),"")</f>
        <v/>
      </c>
    </row>
    <row r="954" spans="1:8" x14ac:dyDescent="0.35">
      <c r="A954" s="56" t="s">
        <v>2858</v>
      </c>
      <c r="B954" s="56" t="s">
        <v>3818</v>
      </c>
      <c r="C954" s="56" t="s">
        <v>3819</v>
      </c>
      <c r="D954" s="39">
        <v>147.44</v>
      </c>
      <c r="E954" s="56" t="s">
        <v>3820</v>
      </c>
      <c r="F954" s="55" t="s">
        <v>3821</v>
      </c>
      <c r="G954" s="5">
        <f>IF(Estimation!$B$18="",0,IF(ISNUMBER(SEARCH(LOWER(Estimation!$B$18),F954)),1,0))</f>
        <v>0</v>
      </c>
      <c r="H954" s="5" t="str">
        <f>IF(G954=1,SUM($G$4:G954),"")</f>
        <v/>
      </c>
    </row>
    <row r="955" spans="1:8" x14ac:dyDescent="0.35">
      <c r="A955" s="56" t="s">
        <v>2858</v>
      </c>
      <c r="B955" s="56" t="s">
        <v>3822</v>
      </c>
      <c r="C955" s="56" t="s">
        <v>3823</v>
      </c>
      <c r="D955" s="39">
        <v>138.22</v>
      </c>
      <c r="E955" s="56" t="s">
        <v>3824</v>
      </c>
      <c r="F955" s="55" t="s">
        <v>3825</v>
      </c>
      <c r="G955" s="5">
        <f>IF(Estimation!$B$18="",0,IF(ISNUMBER(SEARCH(LOWER(Estimation!$B$18),F955)),1,0))</f>
        <v>0</v>
      </c>
      <c r="H955" s="5" t="str">
        <f>IF(G955=1,SUM($G$4:G955),"")</f>
        <v/>
      </c>
    </row>
    <row r="956" spans="1:8" x14ac:dyDescent="0.35">
      <c r="A956" s="56" t="s">
        <v>2858</v>
      </c>
      <c r="B956" s="56" t="s">
        <v>3826</v>
      </c>
      <c r="C956" s="56" t="s">
        <v>3827</v>
      </c>
      <c r="D956" s="39">
        <v>2.44</v>
      </c>
      <c r="E956" s="56" t="s">
        <v>3828</v>
      </c>
      <c r="F956" s="55" t="s">
        <v>3829</v>
      </c>
      <c r="G956" s="5">
        <f>IF(Estimation!$B$18="",0,IF(ISNUMBER(SEARCH(LOWER(Estimation!$B$18),F956)),1,0))</f>
        <v>0</v>
      </c>
      <c r="H956" s="5" t="str">
        <f>IF(G956=1,SUM($G$4:G956),"")</f>
        <v/>
      </c>
    </row>
    <row r="957" spans="1:8" x14ac:dyDescent="0.35">
      <c r="A957" s="56" t="s">
        <v>2858</v>
      </c>
      <c r="B957" s="56" t="s">
        <v>3830</v>
      </c>
      <c r="C957" s="56" t="s">
        <v>3831</v>
      </c>
      <c r="D957" s="39">
        <v>610</v>
      </c>
      <c r="E957" s="56" t="s">
        <v>3832</v>
      </c>
      <c r="F957" s="55" t="s">
        <v>3833</v>
      </c>
      <c r="G957" s="5">
        <f>IF(Estimation!$B$18="",0,IF(ISNUMBER(SEARCH(LOWER(Estimation!$B$18),F957)),1,0))</f>
        <v>0</v>
      </c>
      <c r="H957" s="5" t="str">
        <f>IF(G957=1,SUM($G$4:G957),"")</f>
        <v/>
      </c>
    </row>
    <row r="958" spans="1:8" x14ac:dyDescent="0.35">
      <c r="A958" s="56" t="s">
        <v>2858</v>
      </c>
      <c r="B958" s="56" t="s">
        <v>3834</v>
      </c>
      <c r="C958" s="56" t="s">
        <v>3835</v>
      </c>
      <c r="D958" s="39">
        <v>1220</v>
      </c>
      <c r="E958" s="56" t="s">
        <v>3836</v>
      </c>
      <c r="F958" s="55" t="s">
        <v>3837</v>
      </c>
      <c r="G958" s="5">
        <f>IF(Estimation!$B$18="",0,IF(ISNUMBER(SEARCH(LOWER(Estimation!$B$18),F958)),1,0))</f>
        <v>0</v>
      </c>
      <c r="H958" s="5" t="str">
        <f>IF(G958=1,SUM($G$4:G958),"")</f>
        <v/>
      </c>
    </row>
    <row r="959" spans="1:8" x14ac:dyDescent="0.35">
      <c r="A959" s="56" t="s">
        <v>2858</v>
      </c>
      <c r="B959" s="56" t="s">
        <v>3838</v>
      </c>
      <c r="C959" s="56" t="s">
        <v>3839</v>
      </c>
      <c r="D959" s="39">
        <v>2.37</v>
      </c>
      <c r="E959" s="56" t="s">
        <v>3840</v>
      </c>
      <c r="F959" s="55" t="s">
        <v>3841</v>
      </c>
      <c r="G959" s="5">
        <f>IF(Estimation!$B$18="",0,IF(ISNUMBER(SEARCH(LOWER(Estimation!$B$18),F959)),1,0))</f>
        <v>0</v>
      </c>
      <c r="H959" s="5" t="str">
        <f>IF(G959=1,SUM($G$4:G959),"")</f>
        <v/>
      </c>
    </row>
    <row r="960" spans="1:8" x14ac:dyDescent="0.35">
      <c r="A960" s="56" t="s">
        <v>2858</v>
      </c>
      <c r="B960" s="56" t="s">
        <v>3842</v>
      </c>
      <c r="C960" s="56" t="s">
        <v>3843</v>
      </c>
      <c r="D960" s="39">
        <v>592.5</v>
      </c>
      <c r="E960" s="56" t="s">
        <v>3844</v>
      </c>
      <c r="F960" s="55" t="s">
        <v>3845</v>
      </c>
      <c r="G960" s="5">
        <f>IF(Estimation!$B$18="",0,IF(ISNUMBER(SEARCH(LOWER(Estimation!$B$18),F960)),1,0))</f>
        <v>0</v>
      </c>
      <c r="H960" s="5" t="str">
        <f>IF(G960=1,SUM($G$4:G960),"")</f>
        <v/>
      </c>
    </row>
    <row r="961" spans="1:8" x14ac:dyDescent="0.35">
      <c r="A961" s="56" t="s">
        <v>2858</v>
      </c>
      <c r="B961" s="56" t="s">
        <v>3846</v>
      </c>
      <c r="C961" s="56" t="s">
        <v>3847</v>
      </c>
      <c r="D961" s="39">
        <v>1185</v>
      </c>
      <c r="E961" s="56" t="s">
        <v>3848</v>
      </c>
      <c r="F961" s="55" t="s">
        <v>3849</v>
      </c>
      <c r="G961" s="5">
        <f>IF(Estimation!$B$18="",0,IF(ISNUMBER(SEARCH(LOWER(Estimation!$B$18),F961)),1,0))</f>
        <v>0</v>
      </c>
      <c r="H961" s="5" t="str">
        <f>IF(G961=1,SUM($G$4:G961),"")</f>
        <v/>
      </c>
    </row>
    <row r="962" spans="1:8" x14ac:dyDescent="0.35">
      <c r="A962" s="56" t="s">
        <v>2858</v>
      </c>
      <c r="B962" s="56" t="s">
        <v>3850</v>
      </c>
      <c r="C962" s="56" t="s">
        <v>3851</v>
      </c>
      <c r="D962" s="39">
        <v>2.75</v>
      </c>
      <c r="E962" s="56" t="s">
        <v>3852</v>
      </c>
      <c r="F962" s="55" t="s">
        <v>3853</v>
      </c>
      <c r="G962" s="5">
        <f>IF(Estimation!$B$18="",0,IF(ISNUMBER(SEARCH(LOWER(Estimation!$B$18),F962)),1,0))</f>
        <v>0</v>
      </c>
      <c r="H962" s="5" t="str">
        <f>IF(G962=1,SUM($G$4:G962),"")</f>
        <v/>
      </c>
    </row>
    <row r="963" spans="1:8" x14ac:dyDescent="0.35">
      <c r="A963" s="56" t="s">
        <v>2858</v>
      </c>
      <c r="B963" s="56" t="s">
        <v>3854</v>
      </c>
      <c r="C963" s="56" t="s">
        <v>3855</v>
      </c>
      <c r="D963" s="39">
        <v>687.5</v>
      </c>
      <c r="E963" s="56" t="s">
        <v>3856</v>
      </c>
      <c r="F963" s="55" t="s">
        <v>3857</v>
      </c>
      <c r="G963" s="5">
        <f>IF(Estimation!$B$18="",0,IF(ISNUMBER(SEARCH(LOWER(Estimation!$B$18),F963)),1,0))</f>
        <v>0</v>
      </c>
      <c r="H963" s="5" t="str">
        <f>IF(G963=1,SUM($G$4:G963),"")</f>
        <v/>
      </c>
    </row>
    <row r="964" spans="1:8" x14ac:dyDescent="0.35">
      <c r="A964" s="56" t="s">
        <v>2858</v>
      </c>
      <c r="B964" s="56" t="s">
        <v>3858</v>
      </c>
      <c r="C964" s="56" t="s">
        <v>3859</v>
      </c>
      <c r="D964" s="39">
        <v>1375</v>
      </c>
      <c r="E964" s="56" t="s">
        <v>3860</v>
      </c>
      <c r="F964" s="55" t="s">
        <v>3861</v>
      </c>
      <c r="G964" s="5">
        <f>IF(Estimation!$B$18="",0,IF(ISNUMBER(SEARCH(LOWER(Estimation!$B$18),F964)),1,0))</f>
        <v>0</v>
      </c>
      <c r="H964" s="5" t="str">
        <f>IF(G964=1,SUM($G$4:G964),"")</f>
        <v/>
      </c>
    </row>
    <row r="965" spans="1:8" x14ac:dyDescent="0.35">
      <c r="A965" s="56" t="s">
        <v>2858</v>
      </c>
      <c r="B965" s="56" t="s">
        <v>3862</v>
      </c>
      <c r="C965" s="56" t="s">
        <v>3863</v>
      </c>
      <c r="D965" s="39">
        <v>5.43</v>
      </c>
      <c r="E965" s="56" t="s">
        <v>3864</v>
      </c>
      <c r="F965" s="55" t="s">
        <v>3865</v>
      </c>
      <c r="G965" s="5">
        <f>IF(Estimation!$B$18="",0,IF(ISNUMBER(SEARCH(LOWER(Estimation!$B$18),F965)),1,0))</f>
        <v>0</v>
      </c>
      <c r="H965" s="5" t="str">
        <f>IF(G965=1,SUM($G$4:G965),"")</f>
        <v/>
      </c>
    </row>
    <row r="966" spans="1:8" x14ac:dyDescent="0.35">
      <c r="A966" s="56" t="s">
        <v>2858</v>
      </c>
      <c r="B966" s="56" t="s">
        <v>3866</v>
      </c>
      <c r="C966" s="56" t="s">
        <v>3867</v>
      </c>
      <c r="D966" s="39">
        <v>1358.3</v>
      </c>
      <c r="E966" s="56" t="s">
        <v>3868</v>
      </c>
      <c r="F966" s="55" t="s">
        <v>3869</v>
      </c>
      <c r="G966" s="5">
        <f>IF(Estimation!$B$18="",0,IF(ISNUMBER(SEARCH(LOWER(Estimation!$B$18),F966)),1,0))</f>
        <v>0</v>
      </c>
      <c r="H966" s="5" t="str">
        <f>IF(G966=1,SUM($G$4:G966),"")</f>
        <v/>
      </c>
    </row>
    <row r="967" spans="1:8" x14ac:dyDescent="0.35">
      <c r="A967" s="56" t="s">
        <v>2858</v>
      </c>
      <c r="B967" s="56" t="s">
        <v>3870</v>
      </c>
      <c r="C967" s="56" t="s">
        <v>3871</v>
      </c>
      <c r="D967" s="39">
        <v>2716.6</v>
      </c>
      <c r="E967" s="56" t="s">
        <v>3872</v>
      </c>
      <c r="F967" s="55" t="s">
        <v>3873</v>
      </c>
      <c r="G967" s="5">
        <f>IF(Estimation!$B$18="",0,IF(ISNUMBER(SEARCH(LOWER(Estimation!$B$18),F967)),1,0))</f>
        <v>0</v>
      </c>
      <c r="H967" s="5" t="str">
        <f>IF(G967=1,SUM($G$4:G967),"")</f>
        <v/>
      </c>
    </row>
    <row r="968" spans="1:8" x14ac:dyDescent="0.35">
      <c r="A968" s="56" t="s">
        <v>2858</v>
      </c>
      <c r="B968" s="56" t="s">
        <v>3874</v>
      </c>
      <c r="C968" s="56" t="s">
        <v>3875</v>
      </c>
      <c r="D968" s="39">
        <v>7.8</v>
      </c>
      <c r="E968" s="56" t="s">
        <v>3876</v>
      </c>
      <c r="F968" s="55" t="s">
        <v>3877</v>
      </c>
      <c r="G968" s="5">
        <f>IF(Estimation!$B$18="",0,IF(ISNUMBER(SEARCH(LOWER(Estimation!$B$18),F968)),1,0))</f>
        <v>0</v>
      </c>
      <c r="H968" s="5" t="str">
        <f>IF(G968=1,SUM($G$4:G968),"")</f>
        <v/>
      </c>
    </row>
    <row r="969" spans="1:8" x14ac:dyDescent="0.35">
      <c r="A969" s="56" t="s">
        <v>2858</v>
      </c>
      <c r="B969" s="56" t="s">
        <v>3878</v>
      </c>
      <c r="C969" s="56" t="s">
        <v>3879</v>
      </c>
      <c r="D969" s="39">
        <v>9.69</v>
      </c>
      <c r="E969" s="56" t="s">
        <v>3880</v>
      </c>
      <c r="F969" s="55" t="s">
        <v>3881</v>
      </c>
      <c r="G969" s="5">
        <f>IF(Estimation!$B$18="",0,IF(ISNUMBER(SEARCH(LOWER(Estimation!$B$18),F969)),1,0))</f>
        <v>0</v>
      </c>
      <c r="H969" s="5" t="str">
        <f>IF(G969=1,SUM($G$4:G969),"")</f>
        <v/>
      </c>
    </row>
    <row r="970" spans="1:8" x14ac:dyDescent="0.35">
      <c r="A970" s="56" t="s">
        <v>2858</v>
      </c>
      <c r="B970" s="56" t="s">
        <v>3882</v>
      </c>
      <c r="C970" s="56" t="s">
        <v>3883</v>
      </c>
      <c r="D970" s="39">
        <v>4.17</v>
      </c>
      <c r="E970" s="56" t="s">
        <v>3884</v>
      </c>
      <c r="F970" s="55" t="s">
        <v>3885</v>
      </c>
      <c r="G970" s="5">
        <f>IF(Estimation!$B$18="",0,IF(ISNUMBER(SEARCH(LOWER(Estimation!$B$18),F970)),1,0))</f>
        <v>0</v>
      </c>
      <c r="H970" s="5" t="str">
        <f>IF(G970=1,SUM($G$4:G970),"")</f>
        <v/>
      </c>
    </row>
    <row r="971" spans="1:8" x14ac:dyDescent="0.35">
      <c r="A971" s="56" t="s">
        <v>2858</v>
      </c>
      <c r="B971" s="56" t="s">
        <v>3886</v>
      </c>
      <c r="C971" s="56" t="s">
        <v>3887</v>
      </c>
      <c r="D971" s="39">
        <v>1042.0999999999999</v>
      </c>
      <c r="E971" s="56" t="s">
        <v>3888</v>
      </c>
      <c r="F971" s="55" t="s">
        <v>3889</v>
      </c>
      <c r="G971" s="5">
        <f>IF(Estimation!$B$18="",0,IF(ISNUMBER(SEARCH(LOWER(Estimation!$B$18),F971)),1,0))</f>
        <v>0</v>
      </c>
      <c r="H971" s="5" t="str">
        <f>IF(G971=1,SUM($G$4:G971),"")</f>
        <v/>
      </c>
    </row>
    <row r="972" spans="1:8" x14ac:dyDescent="0.35">
      <c r="A972" s="56" t="s">
        <v>2858</v>
      </c>
      <c r="B972" s="56" t="s">
        <v>3890</v>
      </c>
      <c r="C972" s="56" t="s">
        <v>3891</v>
      </c>
      <c r="D972" s="39">
        <v>2084.1999999999998</v>
      </c>
      <c r="E972" s="56" t="s">
        <v>3892</v>
      </c>
      <c r="F972" s="55" t="s">
        <v>3893</v>
      </c>
      <c r="G972" s="5">
        <f>IF(Estimation!$B$18="",0,IF(ISNUMBER(SEARCH(LOWER(Estimation!$B$18),F972)),1,0))</f>
        <v>0</v>
      </c>
      <c r="H972" s="5" t="str">
        <f>IF(G972=1,SUM($G$4:G972),"")</f>
        <v/>
      </c>
    </row>
    <row r="973" spans="1:8" x14ac:dyDescent="0.35">
      <c r="A973" s="56" t="s">
        <v>2858</v>
      </c>
      <c r="B973" s="56" t="s">
        <v>3894</v>
      </c>
      <c r="C973" s="56" t="s">
        <v>3895</v>
      </c>
      <c r="D973" s="39">
        <v>4.5</v>
      </c>
      <c r="E973" s="56" t="s">
        <v>3896</v>
      </c>
      <c r="F973" s="55" t="s">
        <v>3897</v>
      </c>
      <c r="G973" s="5">
        <f>IF(Estimation!$B$18="",0,IF(ISNUMBER(SEARCH(LOWER(Estimation!$B$18),F973)),1,0))</f>
        <v>0</v>
      </c>
      <c r="H973" s="5" t="str">
        <f>IF(G973=1,SUM($G$4:G973),"")</f>
        <v/>
      </c>
    </row>
    <row r="974" spans="1:8" x14ac:dyDescent="0.35">
      <c r="A974" s="56" t="s">
        <v>2858</v>
      </c>
      <c r="B974" s="56" t="s">
        <v>3898</v>
      </c>
      <c r="C974" s="56" t="s">
        <v>3899</v>
      </c>
      <c r="D974" s="39">
        <v>1125.4000000000001</v>
      </c>
      <c r="E974" s="56" t="s">
        <v>3900</v>
      </c>
      <c r="F974" s="55" t="s">
        <v>3901</v>
      </c>
      <c r="G974" s="5">
        <f>IF(Estimation!$B$18="",0,IF(ISNUMBER(SEARCH(LOWER(Estimation!$B$18),F974)),1,0))</f>
        <v>0</v>
      </c>
      <c r="H974" s="5" t="str">
        <f>IF(G974=1,SUM($G$4:G974),"")</f>
        <v/>
      </c>
    </row>
    <row r="975" spans="1:8" x14ac:dyDescent="0.35">
      <c r="A975" s="56" t="s">
        <v>2858</v>
      </c>
      <c r="B975" s="56" t="s">
        <v>3902</v>
      </c>
      <c r="C975" s="56" t="s">
        <v>3903</v>
      </c>
      <c r="D975" s="39">
        <v>2250.8000000000002</v>
      </c>
      <c r="E975" s="56" t="s">
        <v>3904</v>
      </c>
      <c r="F975" s="55" t="s">
        <v>3905</v>
      </c>
      <c r="G975" s="5">
        <f>IF(Estimation!$B$18="",0,IF(ISNUMBER(SEARCH(LOWER(Estimation!$B$18),F975)),1,0))</f>
        <v>0</v>
      </c>
      <c r="H975" s="5" t="str">
        <f>IF(G975=1,SUM($G$4:G975),"")</f>
        <v/>
      </c>
    </row>
    <row r="976" spans="1:8" x14ac:dyDescent="0.35">
      <c r="A976" s="56" t="s">
        <v>2858</v>
      </c>
      <c r="B976" s="56" t="s">
        <v>3906</v>
      </c>
      <c r="C976" s="56" t="s">
        <v>3907</v>
      </c>
      <c r="D976" s="39">
        <v>6.35</v>
      </c>
      <c r="E976" s="56" t="s">
        <v>3908</v>
      </c>
      <c r="F976" s="55" t="s">
        <v>3909</v>
      </c>
      <c r="G976" s="5">
        <f>IF(Estimation!$B$18="",0,IF(ISNUMBER(SEARCH(LOWER(Estimation!$B$18),F976)),1,0))</f>
        <v>0</v>
      </c>
      <c r="H976" s="5" t="str">
        <f>IF(G976=1,SUM($G$4:G976),"")</f>
        <v/>
      </c>
    </row>
    <row r="977" spans="1:8" x14ac:dyDescent="0.35">
      <c r="A977" s="56" t="s">
        <v>2858</v>
      </c>
      <c r="B977" s="56" t="s">
        <v>3910</v>
      </c>
      <c r="C977" s="56" t="s">
        <v>3911</v>
      </c>
      <c r="D977" s="39">
        <v>2.64</v>
      </c>
      <c r="E977" s="56" t="s">
        <v>3912</v>
      </c>
      <c r="F977" s="55" t="s">
        <v>3913</v>
      </c>
      <c r="G977" s="5">
        <f>IF(Estimation!$B$18="",0,IF(ISNUMBER(SEARCH(LOWER(Estimation!$B$18),F977)),1,0))</f>
        <v>0</v>
      </c>
      <c r="H977" s="5" t="str">
        <f>IF(G977=1,SUM($G$4:G977),"")</f>
        <v/>
      </c>
    </row>
    <row r="978" spans="1:8" x14ac:dyDescent="0.35">
      <c r="A978" s="56" t="s">
        <v>2858</v>
      </c>
      <c r="B978" s="56" t="s">
        <v>3914</v>
      </c>
      <c r="C978" s="56" t="s">
        <v>3915</v>
      </c>
      <c r="D978" s="39">
        <v>660</v>
      </c>
      <c r="E978" s="56" t="s">
        <v>3916</v>
      </c>
      <c r="F978" s="55" t="s">
        <v>3917</v>
      </c>
      <c r="G978" s="5">
        <f>IF(Estimation!$B$18="",0,IF(ISNUMBER(SEARCH(LOWER(Estimation!$B$18),F978)),1,0))</f>
        <v>0</v>
      </c>
      <c r="H978" s="5" t="str">
        <f>IF(G978=1,SUM($G$4:G978),"")</f>
        <v/>
      </c>
    </row>
    <row r="979" spans="1:8" x14ac:dyDescent="0.35">
      <c r="A979" s="56" t="s">
        <v>2858</v>
      </c>
      <c r="B979" s="56" t="s">
        <v>3918</v>
      </c>
      <c r="C979" s="56" t="s">
        <v>3919</v>
      </c>
      <c r="D979" s="39">
        <v>1320</v>
      </c>
      <c r="E979" s="56" t="s">
        <v>3920</v>
      </c>
      <c r="F979" s="55" t="s">
        <v>3921</v>
      </c>
      <c r="G979" s="5">
        <f>IF(Estimation!$B$18="",0,IF(ISNUMBER(SEARCH(LOWER(Estimation!$B$18),F979)),1,0))</f>
        <v>0</v>
      </c>
      <c r="H979" s="5" t="str">
        <f>IF(G979=1,SUM($G$4:G979),"")</f>
        <v/>
      </c>
    </row>
    <row r="980" spans="1:8" x14ac:dyDescent="0.35">
      <c r="A980" s="56" t="s">
        <v>2858</v>
      </c>
      <c r="B980" s="56" t="s">
        <v>3922</v>
      </c>
      <c r="C980" s="56" t="s">
        <v>3923</v>
      </c>
      <c r="D980" s="39">
        <v>2.54</v>
      </c>
      <c r="E980" s="56" t="s">
        <v>3924</v>
      </c>
      <c r="F980" s="55" t="s">
        <v>3925</v>
      </c>
      <c r="G980" s="5">
        <f>IF(Estimation!$B$18="",0,IF(ISNUMBER(SEARCH(LOWER(Estimation!$B$18),F980)),1,0))</f>
        <v>0</v>
      </c>
      <c r="H980" s="5" t="str">
        <f>IF(G980=1,SUM($G$4:G980),"")</f>
        <v/>
      </c>
    </row>
    <row r="981" spans="1:8" x14ac:dyDescent="0.35">
      <c r="A981" s="56" t="s">
        <v>2858</v>
      </c>
      <c r="B981" s="56" t="s">
        <v>3926</v>
      </c>
      <c r="C981" s="56" t="s">
        <v>3927</v>
      </c>
      <c r="D981" s="39">
        <v>635</v>
      </c>
      <c r="E981" s="56" t="s">
        <v>3928</v>
      </c>
      <c r="F981" s="55" t="s">
        <v>3929</v>
      </c>
      <c r="G981" s="5">
        <f>IF(Estimation!$B$18="",0,IF(ISNUMBER(SEARCH(LOWER(Estimation!$B$18),F981)),1,0))</f>
        <v>0</v>
      </c>
      <c r="H981" s="5" t="str">
        <f>IF(G981=1,SUM($G$4:G981),"")</f>
        <v/>
      </c>
    </row>
    <row r="982" spans="1:8" x14ac:dyDescent="0.35">
      <c r="A982" s="56" t="s">
        <v>2858</v>
      </c>
      <c r="B982" s="56" t="s">
        <v>3930</v>
      </c>
      <c r="C982" s="56" t="s">
        <v>3931</v>
      </c>
      <c r="D982" s="39">
        <v>1270</v>
      </c>
      <c r="E982" s="56" t="s">
        <v>3932</v>
      </c>
      <c r="F982" s="55" t="s">
        <v>3933</v>
      </c>
      <c r="G982" s="5">
        <f>IF(Estimation!$B$18="",0,IF(ISNUMBER(SEARCH(LOWER(Estimation!$B$18),F982)),1,0))</f>
        <v>0</v>
      </c>
      <c r="H982" s="5" t="str">
        <f>IF(G982=1,SUM($G$4:G982),"")</f>
        <v/>
      </c>
    </row>
    <row r="983" spans="1:8" x14ac:dyDescent="0.35">
      <c r="A983" s="56" t="s">
        <v>2858</v>
      </c>
      <c r="B983" s="56" t="s">
        <v>3934</v>
      </c>
      <c r="C983" s="56" t="s">
        <v>3935</v>
      </c>
      <c r="D983" s="39">
        <v>2.77</v>
      </c>
      <c r="E983" s="56" t="s">
        <v>3936</v>
      </c>
      <c r="F983" s="55" t="s">
        <v>3937</v>
      </c>
      <c r="G983" s="5">
        <f>IF(Estimation!$B$18="",0,IF(ISNUMBER(SEARCH(LOWER(Estimation!$B$18),F983)),1,0))</f>
        <v>0</v>
      </c>
      <c r="H983" s="5" t="str">
        <f>IF(G983=1,SUM($G$4:G983),"")</f>
        <v/>
      </c>
    </row>
    <row r="984" spans="1:8" x14ac:dyDescent="0.35">
      <c r="A984" s="56" t="s">
        <v>2858</v>
      </c>
      <c r="B984" s="56" t="s">
        <v>3938</v>
      </c>
      <c r="C984" s="56" t="s">
        <v>3939</v>
      </c>
      <c r="D984" s="39">
        <v>692.5</v>
      </c>
      <c r="E984" s="56" t="s">
        <v>3940</v>
      </c>
      <c r="F984" s="55" t="s">
        <v>3941</v>
      </c>
      <c r="G984" s="5">
        <f>IF(Estimation!$B$18="",0,IF(ISNUMBER(SEARCH(LOWER(Estimation!$B$18),F984)),1,0))</f>
        <v>0</v>
      </c>
      <c r="H984" s="5" t="str">
        <f>IF(G984=1,SUM($G$4:G984),"")</f>
        <v/>
      </c>
    </row>
    <row r="985" spans="1:8" x14ac:dyDescent="0.35">
      <c r="A985" s="56" t="s">
        <v>2858</v>
      </c>
      <c r="B985" s="56" t="s">
        <v>3942</v>
      </c>
      <c r="C985" s="56" t="s">
        <v>3943</v>
      </c>
      <c r="D985" s="39">
        <v>1385</v>
      </c>
      <c r="E985" s="56" t="s">
        <v>3944</v>
      </c>
      <c r="F985" s="55" t="s">
        <v>3945</v>
      </c>
      <c r="G985" s="5">
        <f>IF(Estimation!$B$18="",0,IF(ISNUMBER(SEARCH(LOWER(Estimation!$B$18),F985)),1,0))</f>
        <v>0</v>
      </c>
      <c r="H985" s="5" t="str">
        <f>IF(G985=1,SUM($G$4:G985),"")</f>
        <v/>
      </c>
    </row>
    <row r="986" spans="1:8" x14ac:dyDescent="0.35">
      <c r="A986" s="56" t="s">
        <v>2858</v>
      </c>
      <c r="B986" s="56" t="s">
        <v>3946</v>
      </c>
      <c r="C986" s="56" t="s">
        <v>3947</v>
      </c>
      <c r="D986" s="39">
        <v>16.170000000000002</v>
      </c>
      <c r="E986" s="56" t="s">
        <v>3948</v>
      </c>
      <c r="F986" s="55" t="s">
        <v>3949</v>
      </c>
      <c r="G986" s="5">
        <f>IF(Estimation!$B$18="",0,IF(ISNUMBER(SEARCH(LOWER(Estimation!$B$18),F986)),1,0))</f>
        <v>0</v>
      </c>
      <c r="H986" s="5" t="str">
        <f>IF(G986=1,SUM($G$4:G986),"")</f>
        <v/>
      </c>
    </row>
    <row r="987" spans="1:8" x14ac:dyDescent="0.35">
      <c r="A987" s="56" t="s">
        <v>2858</v>
      </c>
      <c r="B987" s="56" t="s">
        <v>3950</v>
      </c>
      <c r="C987" s="56" t="s">
        <v>3951</v>
      </c>
      <c r="D987" s="39">
        <v>3.07</v>
      </c>
      <c r="E987" s="56" t="s">
        <v>3952</v>
      </c>
      <c r="F987" s="55" t="s">
        <v>3953</v>
      </c>
      <c r="G987" s="5">
        <f>IF(Estimation!$B$18="",0,IF(ISNUMBER(SEARCH(LOWER(Estimation!$B$18),F987)),1,0))</f>
        <v>0</v>
      </c>
      <c r="H987" s="5" t="str">
        <f>IF(G987=1,SUM($G$4:G987),"")</f>
        <v/>
      </c>
    </row>
    <row r="988" spans="1:8" x14ac:dyDescent="0.35">
      <c r="A988" s="56" t="s">
        <v>2858</v>
      </c>
      <c r="B988" s="56" t="s">
        <v>3954</v>
      </c>
      <c r="C988" s="56" t="s">
        <v>3955</v>
      </c>
      <c r="D988" s="39">
        <v>1533.4</v>
      </c>
      <c r="E988" s="56" t="s">
        <v>3956</v>
      </c>
      <c r="F988" s="55" t="s">
        <v>3957</v>
      </c>
      <c r="G988" s="5">
        <f>IF(Estimation!$B$18="",0,IF(ISNUMBER(SEARCH(LOWER(Estimation!$B$18),F988)),1,0))</f>
        <v>0</v>
      </c>
      <c r="H988" s="5" t="str">
        <f>IF(G988=1,SUM($G$4:G988),"")</f>
        <v/>
      </c>
    </row>
    <row r="989" spans="1:8" x14ac:dyDescent="0.35">
      <c r="A989" s="56" t="s">
        <v>2858</v>
      </c>
      <c r="B989" s="56" t="s">
        <v>3958</v>
      </c>
      <c r="C989" s="56" t="s">
        <v>3959</v>
      </c>
      <c r="D989" s="39">
        <v>7.85</v>
      </c>
      <c r="E989" s="56" t="s">
        <v>3960</v>
      </c>
      <c r="F989" s="55" t="s">
        <v>3961</v>
      </c>
      <c r="G989" s="5">
        <f>IF(Estimation!$B$18="",0,IF(ISNUMBER(SEARCH(LOWER(Estimation!$B$18),F989)),1,0))</f>
        <v>0</v>
      </c>
      <c r="H989" s="5" t="str">
        <f>IF(G989=1,SUM($G$4:G989),"")</f>
        <v/>
      </c>
    </row>
    <row r="990" spans="1:8" x14ac:dyDescent="0.35">
      <c r="A990" s="56" t="s">
        <v>2858</v>
      </c>
      <c r="B990" s="56" t="s">
        <v>3962</v>
      </c>
      <c r="C990" s="56" t="s">
        <v>3963</v>
      </c>
      <c r="D990" s="39">
        <v>19.71</v>
      </c>
      <c r="E990" s="56" t="s">
        <v>3964</v>
      </c>
      <c r="F990" s="55" t="s">
        <v>3965</v>
      </c>
      <c r="G990" s="5">
        <f>IF(Estimation!$B$18="",0,IF(ISNUMBER(SEARCH(LOWER(Estimation!$B$18),F990)),1,0))</f>
        <v>0</v>
      </c>
      <c r="H990" s="5" t="str">
        <f>IF(G990=1,SUM($G$4:G990),"")</f>
        <v/>
      </c>
    </row>
    <row r="991" spans="1:8" x14ac:dyDescent="0.35">
      <c r="A991" s="56" t="s">
        <v>2858</v>
      </c>
      <c r="B991" s="56" t="s">
        <v>3966</v>
      </c>
      <c r="C991" s="56" t="s">
        <v>3967</v>
      </c>
      <c r="D991" s="39">
        <v>811.24</v>
      </c>
      <c r="E991" s="56" t="s">
        <v>3968</v>
      </c>
      <c r="F991" s="55" t="s">
        <v>3969</v>
      </c>
      <c r="G991" s="5">
        <f>IF(Estimation!$B$18="",0,IF(ISNUMBER(SEARCH(LOWER(Estimation!$B$18),F991)),1,0))</f>
        <v>0</v>
      </c>
      <c r="H991" s="5" t="str">
        <f>IF(G991=1,SUM($G$4:G991),"")</f>
        <v/>
      </c>
    </row>
    <row r="992" spans="1:8" x14ac:dyDescent="0.35">
      <c r="A992" s="56" t="s">
        <v>2858</v>
      </c>
      <c r="B992" s="56" t="s">
        <v>3970</v>
      </c>
      <c r="C992" s="56" t="s">
        <v>3971</v>
      </c>
      <c r="D992" s="39">
        <v>811.24</v>
      </c>
      <c r="E992" s="56" t="s">
        <v>3972</v>
      </c>
      <c r="F992" s="55" t="s">
        <v>3973</v>
      </c>
      <c r="G992" s="5">
        <f>IF(Estimation!$B$18="",0,IF(ISNUMBER(SEARCH(LOWER(Estimation!$B$18),F992)),1,0))</f>
        <v>0</v>
      </c>
      <c r="H992" s="5" t="str">
        <f>IF(G992=1,SUM($G$4:G992),"")</f>
        <v/>
      </c>
    </row>
    <row r="993" spans="1:8" x14ac:dyDescent="0.35">
      <c r="A993" s="56" t="s">
        <v>2858</v>
      </c>
      <c r="B993" s="56" t="s">
        <v>3974</v>
      </c>
      <c r="C993" s="56" t="s">
        <v>3975</v>
      </c>
      <c r="D993" s="39">
        <v>6.47</v>
      </c>
      <c r="E993" s="56" t="s">
        <v>3976</v>
      </c>
      <c r="F993" s="55" t="s">
        <v>3977</v>
      </c>
      <c r="G993" s="5">
        <f>IF(Estimation!$B$18="",0,IF(ISNUMBER(SEARCH(LOWER(Estimation!$B$18),F993)),1,0))</f>
        <v>0</v>
      </c>
      <c r="H993" s="5" t="str">
        <f>IF(G993=1,SUM($G$4:G993),"")</f>
        <v/>
      </c>
    </row>
    <row r="994" spans="1:8" x14ac:dyDescent="0.35">
      <c r="A994" s="56" t="s">
        <v>2858</v>
      </c>
      <c r="B994" s="56" t="s">
        <v>3978</v>
      </c>
      <c r="C994" s="56" t="s">
        <v>3979</v>
      </c>
      <c r="D994" s="39">
        <v>1616.7</v>
      </c>
      <c r="E994" s="56" t="s">
        <v>3980</v>
      </c>
      <c r="F994" s="55" t="s">
        <v>3981</v>
      </c>
      <c r="G994" s="5">
        <f>IF(Estimation!$B$18="",0,IF(ISNUMBER(SEARCH(LOWER(Estimation!$B$18),F994)),1,0))</f>
        <v>0</v>
      </c>
      <c r="H994" s="5" t="str">
        <f>IF(G994=1,SUM($G$4:G994),"")</f>
        <v/>
      </c>
    </row>
    <row r="995" spans="1:8" x14ac:dyDescent="0.35">
      <c r="A995" s="56" t="s">
        <v>2858</v>
      </c>
      <c r="B995" s="56" t="s">
        <v>3982</v>
      </c>
      <c r="C995" s="56" t="s">
        <v>3983</v>
      </c>
      <c r="D995" s="39">
        <v>3233.4</v>
      </c>
      <c r="E995" s="56" t="s">
        <v>3984</v>
      </c>
      <c r="F995" s="55" t="s">
        <v>3985</v>
      </c>
      <c r="G995" s="5">
        <f>IF(Estimation!$B$18="",0,IF(ISNUMBER(SEARCH(LOWER(Estimation!$B$18),F995)),1,0))</f>
        <v>0</v>
      </c>
      <c r="H995" s="5" t="str">
        <f>IF(G995=1,SUM($G$4:G995),"")</f>
        <v/>
      </c>
    </row>
    <row r="996" spans="1:8" x14ac:dyDescent="0.35">
      <c r="A996" s="56" t="s">
        <v>2858</v>
      </c>
      <c r="B996" s="56" t="s">
        <v>3986</v>
      </c>
      <c r="C996" s="56" t="s">
        <v>3987</v>
      </c>
      <c r="D996" s="39">
        <v>8.5299999999999994</v>
      </c>
      <c r="E996" s="56" t="s">
        <v>3988</v>
      </c>
      <c r="F996" s="55" t="s">
        <v>3989</v>
      </c>
      <c r="G996" s="5">
        <f>IF(Estimation!$B$18="",0,IF(ISNUMBER(SEARCH(LOWER(Estimation!$B$18),F996)),1,0))</f>
        <v>0</v>
      </c>
      <c r="H996" s="5" t="str">
        <f>IF(G996=1,SUM($G$4:G996),"")</f>
        <v/>
      </c>
    </row>
    <row r="997" spans="1:8" x14ac:dyDescent="0.35">
      <c r="A997" s="56" t="s">
        <v>2858</v>
      </c>
      <c r="B997" s="56" t="s">
        <v>3990</v>
      </c>
      <c r="C997" s="56" t="s">
        <v>3991</v>
      </c>
      <c r="D997" s="39">
        <v>2133.5</v>
      </c>
      <c r="E997" s="56" t="s">
        <v>3992</v>
      </c>
      <c r="F997" s="55" t="s">
        <v>3993</v>
      </c>
      <c r="G997" s="5">
        <f>IF(Estimation!$B$18="",0,IF(ISNUMBER(SEARCH(LOWER(Estimation!$B$18),F997)),1,0))</f>
        <v>0</v>
      </c>
      <c r="H997" s="5" t="str">
        <f>IF(G997=1,SUM($G$4:G997),"")</f>
        <v/>
      </c>
    </row>
    <row r="998" spans="1:8" x14ac:dyDescent="0.35">
      <c r="A998" s="56" t="s">
        <v>2858</v>
      </c>
      <c r="B998" s="56" t="s">
        <v>3994</v>
      </c>
      <c r="C998" s="56" t="s">
        <v>3995</v>
      </c>
      <c r="D998" s="39">
        <v>11.32</v>
      </c>
      <c r="E998" s="56" t="s">
        <v>3996</v>
      </c>
      <c r="F998" s="55" t="s">
        <v>3997</v>
      </c>
      <c r="G998" s="5">
        <f>IF(Estimation!$B$18="",0,IF(ISNUMBER(SEARCH(LOWER(Estimation!$B$18),F998)),1,0))</f>
        <v>0</v>
      </c>
      <c r="H998" s="5" t="str">
        <f>IF(G998=1,SUM($G$4:G998),"")</f>
        <v/>
      </c>
    </row>
    <row r="999" spans="1:8" x14ac:dyDescent="0.35">
      <c r="A999" s="56" t="s">
        <v>2858</v>
      </c>
      <c r="B999" s="56" t="s">
        <v>3998</v>
      </c>
      <c r="C999" s="56" t="s">
        <v>3999</v>
      </c>
      <c r="D999" s="39">
        <v>12.36</v>
      </c>
      <c r="E999" s="56" t="s">
        <v>4000</v>
      </c>
      <c r="F999" s="55" t="s">
        <v>4001</v>
      </c>
      <c r="G999" s="5">
        <f>IF(Estimation!$B$18="",0,IF(ISNUMBER(SEARCH(LOWER(Estimation!$B$18),F999)),1,0))</f>
        <v>0</v>
      </c>
      <c r="H999" s="5" t="str">
        <f>IF(G999=1,SUM($G$4:G999),"")</f>
        <v/>
      </c>
    </row>
    <row r="1000" spans="1:8" x14ac:dyDescent="0.35">
      <c r="A1000" s="56" t="s">
        <v>2858</v>
      </c>
      <c r="B1000" s="56" t="s">
        <v>4002</v>
      </c>
      <c r="C1000" s="56" t="s">
        <v>4003</v>
      </c>
      <c r="D1000" s="39">
        <v>4.0999999999999996</v>
      </c>
      <c r="E1000" s="56" t="s">
        <v>4004</v>
      </c>
      <c r="F1000" s="55" t="s">
        <v>4005</v>
      </c>
      <c r="G1000" s="5">
        <f>IF(Estimation!$B$18="",0,IF(ISNUMBER(SEARCH(LOWER(Estimation!$B$18),F1000)),1,0))</f>
        <v>0</v>
      </c>
      <c r="H1000" s="5" t="str">
        <f>IF(G1000=1,SUM($G$4:G1000),"")</f>
        <v/>
      </c>
    </row>
    <row r="1001" spans="1:8" x14ac:dyDescent="0.35">
      <c r="A1001" s="56" t="s">
        <v>2858</v>
      </c>
      <c r="B1001" s="56" t="s">
        <v>4006</v>
      </c>
      <c r="C1001" s="56" t="s">
        <v>4007</v>
      </c>
      <c r="D1001" s="39">
        <v>2050</v>
      </c>
      <c r="E1001" s="56" t="s">
        <v>4008</v>
      </c>
      <c r="F1001" s="55" t="s">
        <v>4009</v>
      </c>
      <c r="G1001" s="5">
        <f>IF(Estimation!$B$18="",0,IF(ISNUMBER(SEARCH(LOWER(Estimation!$B$18),F1001)),1,0))</f>
        <v>0</v>
      </c>
      <c r="H1001" s="5" t="str">
        <f>IF(G1001=1,SUM($G$4:G1001),"")</f>
        <v/>
      </c>
    </row>
    <row r="1002" spans="1:8" x14ac:dyDescent="0.35">
      <c r="A1002" s="56" t="s">
        <v>2858</v>
      </c>
      <c r="B1002" s="56" t="s">
        <v>4010</v>
      </c>
      <c r="C1002" s="56" t="s">
        <v>4011</v>
      </c>
      <c r="D1002" s="39">
        <v>55</v>
      </c>
      <c r="E1002" s="56" t="s">
        <v>4012</v>
      </c>
      <c r="F1002" s="55" t="s">
        <v>4013</v>
      </c>
      <c r="G1002" s="5">
        <f>IF(Estimation!$B$18="",0,IF(ISNUMBER(SEARCH(LOWER(Estimation!$B$18),F1002)),1,0))</f>
        <v>0</v>
      </c>
      <c r="H1002" s="5" t="str">
        <f>IF(G1002=1,SUM($G$4:G1002),"")</f>
        <v/>
      </c>
    </row>
    <row r="1003" spans="1:8" x14ac:dyDescent="0.35">
      <c r="A1003" s="56" t="s">
        <v>2858</v>
      </c>
      <c r="B1003" s="56" t="s">
        <v>4014</v>
      </c>
      <c r="C1003" s="56" t="s">
        <v>4015</v>
      </c>
      <c r="D1003" s="39">
        <v>30</v>
      </c>
      <c r="E1003" s="56" t="s">
        <v>4016</v>
      </c>
      <c r="F1003" s="55" t="s">
        <v>4017</v>
      </c>
      <c r="G1003" s="5">
        <f>IF(Estimation!$B$18="",0,IF(ISNUMBER(SEARCH(LOWER(Estimation!$B$18),F1003)),1,0))</f>
        <v>0</v>
      </c>
      <c r="H1003" s="5" t="str">
        <f>IF(G1003=1,SUM($G$4:G1003),"")</f>
        <v/>
      </c>
    </row>
    <row r="1004" spans="1:8" x14ac:dyDescent="0.35">
      <c r="A1004" s="56" t="s">
        <v>2858</v>
      </c>
      <c r="B1004" s="56" t="s">
        <v>4018</v>
      </c>
      <c r="C1004" s="56" t="s">
        <v>4019</v>
      </c>
      <c r="D1004" s="39">
        <v>90</v>
      </c>
      <c r="E1004" s="56" t="s">
        <v>4020</v>
      </c>
      <c r="F1004" s="55" t="s">
        <v>4021</v>
      </c>
      <c r="G1004" s="5">
        <f>IF(Estimation!$B$18="",0,IF(ISNUMBER(SEARCH(LOWER(Estimation!$B$18),F1004)),1,0))</f>
        <v>0</v>
      </c>
      <c r="H1004" s="5" t="str">
        <f>IF(G1004=1,SUM($G$4:G1004),"")</f>
        <v/>
      </c>
    </row>
    <row r="1005" spans="1:8" x14ac:dyDescent="0.35">
      <c r="A1005" s="56" t="s">
        <v>2858</v>
      </c>
      <c r="B1005" s="56" t="s">
        <v>4022</v>
      </c>
      <c r="C1005" s="56" t="s">
        <v>4023</v>
      </c>
      <c r="D1005" s="39">
        <v>1750</v>
      </c>
      <c r="E1005" s="56" t="s">
        <v>4024</v>
      </c>
      <c r="F1005" s="55" t="s">
        <v>4025</v>
      </c>
      <c r="G1005" s="5">
        <f>IF(Estimation!$B$18="",0,IF(ISNUMBER(SEARCH(LOWER(Estimation!$B$18),F1005)),1,0))</f>
        <v>0</v>
      </c>
      <c r="H1005" s="5" t="str">
        <f>IF(G1005=1,SUM($G$4:G1005),"")</f>
        <v/>
      </c>
    </row>
    <row r="1006" spans="1:8" x14ac:dyDescent="0.35">
      <c r="A1006" s="56" t="s">
        <v>2858</v>
      </c>
      <c r="B1006" s="56" t="s">
        <v>4026</v>
      </c>
      <c r="C1006" s="56" t="s">
        <v>4027</v>
      </c>
      <c r="D1006" s="39">
        <v>2450</v>
      </c>
      <c r="E1006" s="56" t="s">
        <v>4028</v>
      </c>
      <c r="F1006" s="55" t="s">
        <v>4029</v>
      </c>
      <c r="G1006" s="5">
        <f>IF(Estimation!$B$18="",0,IF(ISNUMBER(SEARCH(LOWER(Estimation!$B$18),F1006)),1,0))</f>
        <v>0</v>
      </c>
      <c r="H1006" s="5" t="str">
        <f>IF(G1006=1,SUM($G$4:G1006),"")</f>
        <v/>
      </c>
    </row>
    <row r="1007" spans="1:8" x14ac:dyDescent="0.35">
      <c r="A1007" s="56" t="s">
        <v>2858</v>
      </c>
      <c r="B1007" s="56" t="s">
        <v>4030</v>
      </c>
      <c r="C1007" s="56" t="s">
        <v>4031</v>
      </c>
      <c r="D1007" s="39">
        <v>1419.08</v>
      </c>
      <c r="E1007" s="56" t="s">
        <v>4032</v>
      </c>
      <c r="F1007" s="55" t="s">
        <v>4033</v>
      </c>
      <c r="G1007" s="5">
        <f>IF(Estimation!$B$18="",0,IF(ISNUMBER(SEARCH(LOWER(Estimation!$B$18),F1007)),1,0))</f>
        <v>0</v>
      </c>
      <c r="H1007" s="5" t="str">
        <f>IF(G1007=1,SUM($G$4:G1007),"")</f>
        <v/>
      </c>
    </row>
    <row r="1008" spans="1:8" x14ac:dyDescent="0.35">
      <c r="A1008" s="56" t="s">
        <v>2858</v>
      </c>
      <c r="B1008" s="56" t="s">
        <v>4034</v>
      </c>
      <c r="C1008" s="56" t="s">
        <v>4035</v>
      </c>
      <c r="D1008" s="39">
        <v>2465.58</v>
      </c>
      <c r="E1008" s="56" t="s">
        <v>4036</v>
      </c>
      <c r="F1008" s="55" t="s">
        <v>4037</v>
      </c>
      <c r="G1008" s="5">
        <f>IF(Estimation!$B$18="",0,IF(ISNUMBER(SEARCH(LOWER(Estimation!$B$18),F1008)),1,0))</f>
        <v>0</v>
      </c>
      <c r="H1008" s="5" t="str">
        <f>IF(G1008=1,SUM($G$4:G1008),"")</f>
        <v/>
      </c>
    </row>
    <row r="1009" spans="1:8" x14ac:dyDescent="0.35">
      <c r="A1009" s="56" t="s">
        <v>2858</v>
      </c>
      <c r="B1009" s="56" t="s">
        <v>4038</v>
      </c>
      <c r="C1009" s="56" t="s">
        <v>4039</v>
      </c>
      <c r="D1009" s="39">
        <v>1195.43</v>
      </c>
      <c r="E1009" s="56" t="s">
        <v>4040</v>
      </c>
      <c r="F1009" s="55" t="s">
        <v>4041</v>
      </c>
      <c r="G1009" s="5">
        <f>IF(Estimation!$B$18="",0,IF(ISNUMBER(SEARCH(LOWER(Estimation!$B$18),F1009)),1,0))</f>
        <v>0</v>
      </c>
      <c r="H1009" s="5" t="str">
        <f>IF(G1009=1,SUM($G$4:G1009),"")</f>
        <v/>
      </c>
    </row>
    <row r="1010" spans="1:8" x14ac:dyDescent="0.35">
      <c r="A1010" s="56" t="s">
        <v>2858</v>
      </c>
      <c r="B1010" s="56" t="s">
        <v>4042</v>
      </c>
      <c r="C1010" s="56" t="s">
        <v>4043</v>
      </c>
      <c r="D1010" s="39">
        <v>2053.9699999999998</v>
      </c>
      <c r="E1010" s="56" t="s">
        <v>4044</v>
      </c>
      <c r="F1010" s="55" t="s">
        <v>4045</v>
      </c>
      <c r="G1010" s="5">
        <f>IF(Estimation!$B$18="",0,IF(ISNUMBER(SEARCH(LOWER(Estimation!$B$18),F1010)),1,0))</f>
        <v>0</v>
      </c>
      <c r="H1010" s="5" t="str">
        <f>IF(G1010=1,SUM($G$4:G1010),"")</f>
        <v/>
      </c>
    </row>
    <row r="1011" spans="1:8" x14ac:dyDescent="0.35">
      <c r="A1011" s="56" t="s">
        <v>2858</v>
      </c>
      <c r="B1011" s="56" t="s">
        <v>4046</v>
      </c>
      <c r="C1011" s="56" t="s">
        <v>4047</v>
      </c>
      <c r="D1011" s="39">
        <v>1867.86</v>
      </c>
      <c r="E1011" s="56" t="s">
        <v>4048</v>
      </c>
      <c r="F1011" s="55" t="s">
        <v>4049</v>
      </c>
      <c r="G1011" s="5">
        <f>IF(Estimation!$B$18="",0,IF(ISNUMBER(SEARCH(LOWER(Estimation!$B$18),F1011)),1,0))</f>
        <v>0</v>
      </c>
      <c r="H1011" s="5" t="str">
        <f>IF(G1011=1,SUM($G$4:G1011),"")</f>
        <v/>
      </c>
    </row>
    <row r="1012" spans="1:8" x14ac:dyDescent="0.35">
      <c r="A1012" s="56" t="s">
        <v>2858</v>
      </c>
      <c r="B1012" s="56" t="s">
        <v>4050</v>
      </c>
      <c r="C1012" s="56" t="s">
        <v>4051</v>
      </c>
      <c r="D1012" s="39">
        <v>343.68</v>
      </c>
      <c r="E1012" s="56" t="s">
        <v>4052</v>
      </c>
      <c r="F1012" s="55" t="s">
        <v>4053</v>
      </c>
      <c r="G1012" s="5">
        <f>IF(Estimation!$B$18="",0,IF(ISNUMBER(SEARCH(LOWER(Estimation!$B$18),F1012)),1,0))</f>
        <v>0</v>
      </c>
      <c r="H1012" s="5" t="str">
        <f>IF(G1012=1,SUM($G$4:G1012),"")</f>
        <v/>
      </c>
    </row>
    <row r="1013" spans="1:8" x14ac:dyDescent="0.35">
      <c r="A1013" s="56" t="s">
        <v>2858</v>
      </c>
      <c r="B1013" s="56" t="s">
        <v>4054</v>
      </c>
      <c r="C1013" s="56" t="s">
        <v>4055</v>
      </c>
      <c r="D1013" s="39">
        <v>127.16</v>
      </c>
      <c r="E1013" s="56" t="s">
        <v>4056</v>
      </c>
      <c r="F1013" s="55" t="s">
        <v>4057</v>
      </c>
      <c r="G1013" s="5">
        <f>IF(Estimation!$B$18="",0,IF(ISNUMBER(SEARCH(LOWER(Estimation!$B$18),F1013)),1,0))</f>
        <v>0</v>
      </c>
      <c r="H1013" s="5" t="str">
        <f>IF(G1013=1,SUM($G$4:G1013),"")</f>
        <v/>
      </c>
    </row>
    <row r="1014" spans="1:8" x14ac:dyDescent="0.35">
      <c r="A1014" s="56" t="s">
        <v>2858</v>
      </c>
      <c r="B1014" s="56" t="s">
        <v>4058</v>
      </c>
      <c r="C1014" s="56" t="s">
        <v>4059</v>
      </c>
      <c r="D1014" s="39">
        <v>448.27</v>
      </c>
      <c r="E1014" s="56" t="s">
        <v>4060</v>
      </c>
      <c r="F1014" s="55" t="s">
        <v>4061</v>
      </c>
      <c r="G1014" s="5">
        <f>IF(Estimation!$B$18="",0,IF(ISNUMBER(SEARCH(LOWER(Estimation!$B$18),F1014)),1,0))</f>
        <v>0</v>
      </c>
      <c r="H1014" s="5" t="str">
        <f>IF(G1014=1,SUM($G$4:G1014),"")</f>
        <v/>
      </c>
    </row>
    <row r="1015" spans="1:8" x14ac:dyDescent="0.35">
      <c r="A1015" s="56" t="s">
        <v>2858</v>
      </c>
      <c r="B1015" s="56" t="s">
        <v>4062</v>
      </c>
      <c r="C1015" s="56" t="s">
        <v>4063</v>
      </c>
      <c r="D1015" s="39">
        <v>533.46</v>
      </c>
      <c r="E1015" s="56" t="s">
        <v>4064</v>
      </c>
      <c r="F1015" s="55" t="s">
        <v>4065</v>
      </c>
      <c r="G1015" s="5">
        <f>IF(Estimation!$B$18="",0,IF(ISNUMBER(SEARCH(LOWER(Estimation!$B$18),F1015)),1,0))</f>
        <v>0</v>
      </c>
      <c r="H1015" s="5" t="str">
        <f>IF(G1015=1,SUM($G$4:G1015),"")</f>
        <v/>
      </c>
    </row>
    <row r="1016" spans="1:8" x14ac:dyDescent="0.35">
      <c r="A1016" s="56" t="s">
        <v>2858</v>
      </c>
      <c r="B1016" s="56" t="s">
        <v>4066</v>
      </c>
      <c r="C1016" s="56" t="s">
        <v>4067</v>
      </c>
      <c r="D1016" s="39">
        <v>29.89</v>
      </c>
      <c r="E1016" s="56" t="s">
        <v>4068</v>
      </c>
      <c r="F1016" s="55" t="s">
        <v>4069</v>
      </c>
      <c r="G1016" s="5">
        <f>IF(Estimation!$B$18="",0,IF(ISNUMBER(SEARCH(LOWER(Estimation!$B$18),F1016)),1,0))</f>
        <v>0</v>
      </c>
      <c r="H1016" s="5" t="str">
        <f>IF(G1016=1,SUM($G$4:G1016),"")</f>
        <v/>
      </c>
    </row>
    <row r="1017" spans="1:8" x14ac:dyDescent="0.35">
      <c r="A1017" s="56" t="s">
        <v>2858</v>
      </c>
      <c r="B1017" s="56" t="s">
        <v>4070</v>
      </c>
      <c r="C1017" s="56" t="s">
        <v>4071</v>
      </c>
      <c r="D1017" s="39">
        <v>4049.52</v>
      </c>
      <c r="E1017" s="56" t="s">
        <v>4072</v>
      </c>
      <c r="F1017" s="55" t="s">
        <v>4073</v>
      </c>
      <c r="G1017" s="5">
        <f>IF(Estimation!$B$18="",0,IF(ISNUMBER(SEARCH(LOWER(Estimation!$B$18),F1017)),1,0))</f>
        <v>0</v>
      </c>
      <c r="H1017" s="5" t="str">
        <f>IF(G1017=1,SUM($G$4:G1017),"")</f>
        <v/>
      </c>
    </row>
    <row r="1018" spans="1:8" x14ac:dyDescent="0.35">
      <c r="A1018" s="56" t="s">
        <v>2858</v>
      </c>
      <c r="B1018" s="56" t="s">
        <v>4074</v>
      </c>
      <c r="C1018" s="56" t="s">
        <v>4075</v>
      </c>
      <c r="D1018" s="39">
        <v>5379.44</v>
      </c>
      <c r="E1018" s="56" t="s">
        <v>4076</v>
      </c>
      <c r="F1018" s="55" t="s">
        <v>4077</v>
      </c>
      <c r="G1018" s="5">
        <f>IF(Estimation!$B$18="",0,IF(ISNUMBER(SEARCH(LOWER(Estimation!$B$18),F1018)),1,0))</f>
        <v>0</v>
      </c>
      <c r="H1018" s="5" t="str">
        <f>IF(G1018=1,SUM($G$4:G1018),"")</f>
        <v/>
      </c>
    </row>
    <row r="1019" spans="1:8" x14ac:dyDescent="0.35">
      <c r="A1019" s="56" t="s">
        <v>2858</v>
      </c>
      <c r="B1019" s="56" t="s">
        <v>4078</v>
      </c>
      <c r="C1019" s="56" t="s">
        <v>4079</v>
      </c>
      <c r="D1019" s="39">
        <v>3639.84</v>
      </c>
      <c r="E1019" s="56" t="s">
        <v>4080</v>
      </c>
      <c r="F1019" s="55" t="s">
        <v>4081</v>
      </c>
      <c r="G1019" s="5">
        <f>IF(Estimation!$B$18="",0,IF(ISNUMBER(SEARCH(LOWER(Estimation!$B$18),F1019)),1,0))</f>
        <v>0</v>
      </c>
      <c r="H1019" s="5" t="str">
        <f>IF(G1019=1,SUM($G$4:G1019),"")</f>
        <v/>
      </c>
    </row>
    <row r="1020" spans="1:8" x14ac:dyDescent="0.35">
      <c r="A1020" s="56" t="s">
        <v>2858</v>
      </c>
      <c r="B1020" s="56" t="s">
        <v>4082</v>
      </c>
      <c r="C1020" s="56" t="s">
        <v>4083</v>
      </c>
      <c r="D1020" s="39">
        <v>3597.16</v>
      </c>
      <c r="E1020" s="56" t="s">
        <v>4084</v>
      </c>
      <c r="F1020" s="55" t="s">
        <v>4085</v>
      </c>
      <c r="G1020" s="5">
        <f>IF(Estimation!$B$18="",0,IF(ISNUMBER(SEARCH(LOWER(Estimation!$B$18),F1020)),1,0))</f>
        <v>0</v>
      </c>
      <c r="H1020" s="5" t="str">
        <f>IF(G1020=1,SUM($G$4:G1020),"")</f>
        <v/>
      </c>
    </row>
    <row r="1021" spans="1:8" x14ac:dyDescent="0.35">
      <c r="A1021" s="56" t="s">
        <v>2858</v>
      </c>
      <c r="B1021" s="56" t="s">
        <v>4086</v>
      </c>
      <c r="C1021" s="56" t="s">
        <v>4087</v>
      </c>
      <c r="D1021" s="39">
        <v>4357.8999999999996</v>
      </c>
      <c r="E1021" s="56" t="s">
        <v>4088</v>
      </c>
      <c r="F1021" s="55" t="s">
        <v>4089</v>
      </c>
      <c r="G1021" s="5">
        <f>IF(Estimation!$B$18="",0,IF(ISNUMBER(SEARCH(LOWER(Estimation!$B$18),F1021)),1,0))</f>
        <v>0</v>
      </c>
      <c r="H1021" s="5" t="str">
        <f>IF(G1021=1,SUM($G$4:G1021),"")</f>
        <v/>
      </c>
    </row>
    <row r="1022" spans="1:8" x14ac:dyDescent="0.35">
      <c r="A1022" s="56" t="s">
        <v>2858</v>
      </c>
      <c r="B1022" s="56" t="s">
        <v>4090</v>
      </c>
      <c r="C1022" s="56" t="s">
        <v>4091</v>
      </c>
      <c r="D1022" s="39">
        <v>5618.53</v>
      </c>
      <c r="E1022" s="56" t="s">
        <v>4092</v>
      </c>
      <c r="F1022" s="55" t="s">
        <v>4093</v>
      </c>
      <c r="G1022" s="5">
        <f>IF(Estimation!$B$18="",0,IF(ISNUMBER(SEARCH(LOWER(Estimation!$B$18),F1022)),1,0))</f>
        <v>0</v>
      </c>
      <c r="H1022" s="5" t="str">
        <f>IF(G1022=1,SUM($G$4:G1022),"")</f>
        <v/>
      </c>
    </row>
    <row r="1023" spans="1:8" x14ac:dyDescent="0.35">
      <c r="A1023" s="56" t="s">
        <v>2858</v>
      </c>
      <c r="B1023" s="56" t="s">
        <v>4094</v>
      </c>
      <c r="C1023" s="56" t="s">
        <v>4095</v>
      </c>
      <c r="D1023" s="39">
        <v>4124.24</v>
      </c>
      <c r="E1023" s="56" t="s">
        <v>4096</v>
      </c>
      <c r="F1023" s="55" t="s">
        <v>4097</v>
      </c>
      <c r="G1023" s="5">
        <f>IF(Estimation!$B$18="",0,IF(ISNUMBER(SEARCH(LOWER(Estimation!$B$18),F1023)),1,0))</f>
        <v>0</v>
      </c>
      <c r="H1023" s="5" t="str">
        <f>IF(G1023=1,SUM($G$4:G1023),"")</f>
        <v/>
      </c>
    </row>
    <row r="1024" spans="1:8" x14ac:dyDescent="0.35">
      <c r="A1024" s="56" t="s">
        <v>2858</v>
      </c>
      <c r="B1024" s="56" t="s">
        <v>4098</v>
      </c>
      <c r="C1024" s="56" t="s">
        <v>4099</v>
      </c>
      <c r="D1024" s="39">
        <v>821.86</v>
      </c>
      <c r="E1024" s="56" t="s">
        <v>4100</v>
      </c>
      <c r="F1024" s="55" t="s">
        <v>4101</v>
      </c>
      <c r="G1024" s="5">
        <f>IF(Estimation!$B$18="",0,IF(ISNUMBER(SEARCH(LOWER(Estimation!$B$18),F1024)),1,0))</f>
        <v>0</v>
      </c>
      <c r="H1024" s="5" t="str">
        <f>IF(G1024=1,SUM($G$4:G1024),"")</f>
        <v/>
      </c>
    </row>
    <row r="1025" spans="1:8" x14ac:dyDescent="0.35">
      <c r="A1025" s="56" t="s">
        <v>2858</v>
      </c>
      <c r="B1025" s="56" t="s">
        <v>4102</v>
      </c>
      <c r="C1025" s="56" t="s">
        <v>4103</v>
      </c>
      <c r="D1025" s="39">
        <v>672.44</v>
      </c>
      <c r="E1025" s="56" t="s">
        <v>4104</v>
      </c>
      <c r="F1025" s="55" t="s">
        <v>4105</v>
      </c>
      <c r="G1025" s="5">
        <f>IF(Estimation!$B$18="",0,IF(ISNUMBER(SEARCH(LOWER(Estimation!$B$18),F1025)),1,0))</f>
        <v>0</v>
      </c>
      <c r="H1025" s="5" t="str">
        <f>IF(G1025=1,SUM($G$4:G1025),"")</f>
        <v/>
      </c>
    </row>
    <row r="1026" spans="1:8" x14ac:dyDescent="0.35">
      <c r="A1026" s="56" t="s">
        <v>2858</v>
      </c>
      <c r="B1026" s="56" t="s">
        <v>4106</v>
      </c>
      <c r="C1026" s="56" t="s">
        <v>4107</v>
      </c>
      <c r="D1026" s="39">
        <v>747.15</v>
      </c>
      <c r="E1026" s="56" t="s">
        <v>4108</v>
      </c>
      <c r="F1026" s="55" t="s">
        <v>4109</v>
      </c>
      <c r="G1026" s="5">
        <f>IF(Estimation!$B$18="",0,IF(ISNUMBER(SEARCH(LOWER(Estimation!$B$18),F1026)),1,0))</f>
        <v>0</v>
      </c>
      <c r="H1026" s="5" t="str">
        <f>IF(G1026=1,SUM($G$4:G1026),"")</f>
        <v/>
      </c>
    </row>
    <row r="1027" spans="1:8" x14ac:dyDescent="0.35">
      <c r="A1027" s="56" t="s">
        <v>2858</v>
      </c>
      <c r="B1027" s="56" t="s">
        <v>4110</v>
      </c>
      <c r="C1027" s="56" t="s">
        <v>4111</v>
      </c>
      <c r="D1027" s="39">
        <v>597.72</v>
      </c>
      <c r="E1027" s="56" t="s">
        <v>4112</v>
      </c>
      <c r="F1027" s="55" t="s">
        <v>4113</v>
      </c>
      <c r="G1027" s="5">
        <f>IF(Estimation!$B$18="",0,IF(ISNUMBER(SEARCH(LOWER(Estimation!$B$18),F1027)),1,0))</f>
        <v>0</v>
      </c>
      <c r="H1027" s="5" t="str">
        <f>IF(G1027=1,SUM($G$4:G1027),"")</f>
        <v/>
      </c>
    </row>
    <row r="1028" spans="1:8" x14ac:dyDescent="0.35">
      <c r="A1028" s="56" t="s">
        <v>2858</v>
      </c>
      <c r="B1028" s="56" t="s">
        <v>4114</v>
      </c>
      <c r="C1028" s="56" t="s">
        <v>4115</v>
      </c>
      <c r="D1028" s="39">
        <v>565.12</v>
      </c>
      <c r="E1028" s="56" t="s">
        <v>4116</v>
      </c>
      <c r="F1028" s="55" t="s">
        <v>4117</v>
      </c>
      <c r="G1028" s="5">
        <f>IF(Estimation!$B$18="",0,IF(ISNUMBER(SEARCH(LOWER(Estimation!$B$18),F1028)),1,0))</f>
        <v>0</v>
      </c>
      <c r="H1028" s="5" t="str">
        <f>IF(G1028=1,SUM($G$4:G1028),"")</f>
        <v/>
      </c>
    </row>
    <row r="1029" spans="1:8" x14ac:dyDescent="0.35">
      <c r="A1029" s="56" t="s">
        <v>2858</v>
      </c>
      <c r="B1029" s="56" t="s">
        <v>4118</v>
      </c>
      <c r="C1029" s="56" t="s">
        <v>4119</v>
      </c>
      <c r="D1029" s="39">
        <v>565.12</v>
      </c>
      <c r="E1029" s="56" t="s">
        <v>4120</v>
      </c>
      <c r="F1029" s="55" t="s">
        <v>4121</v>
      </c>
      <c r="G1029" s="5">
        <f>IF(Estimation!$B$18="",0,IF(ISNUMBER(SEARCH(LOWER(Estimation!$B$18),F1029)),1,0))</f>
        <v>0</v>
      </c>
      <c r="H1029" s="5" t="str">
        <f>IF(G1029=1,SUM($G$4:G1029),"")</f>
        <v/>
      </c>
    </row>
    <row r="1030" spans="1:8" x14ac:dyDescent="0.35">
      <c r="A1030" s="56" t="s">
        <v>2858</v>
      </c>
      <c r="B1030" s="56" t="s">
        <v>4122</v>
      </c>
      <c r="C1030" s="56" t="s">
        <v>4123</v>
      </c>
      <c r="D1030" s="39">
        <v>2303.6999999999998</v>
      </c>
      <c r="E1030" s="56" t="s">
        <v>4124</v>
      </c>
      <c r="F1030" s="55" t="s">
        <v>4125</v>
      </c>
      <c r="G1030" s="5">
        <f>IF(Estimation!$B$18="",0,IF(ISNUMBER(SEARCH(LOWER(Estimation!$B$18),F1030)),1,0))</f>
        <v>0</v>
      </c>
      <c r="H1030" s="5" t="str">
        <f>IF(G1030=1,SUM($G$4:G1030),"")</f>
        <v/>
      </c>
    </row>
    <row r="1031" spans="1:8" x14ac:dyDescent="0.35">
      <c r="A1031" s="56" t="s">
        <v>2858</v>
      </c>
      <c r="B1031" s="56" t="s">
        <v>4126</v>
      </c>
      <c r="C1031" s="56" t="s">
        <v>4127</v>
      </c>
      <c r="D1031" s="39">
        <v>747.15</v>
      </c>
      <c r="E1031" s="56" t="s">
        <v>4128</v>
      </c>
      <c r="F1031" s="55" t="s">
        <v>4129</v>
      </c>
      <c r="G1031" s="5">
        <f>IF(Estimation!$B$18="",0,IF(ISNUMBER(SEARCH(LOWER(Estimation!$B$18),F1031)),1,0))</f>
        <v>0</v>
      </c>
      <c r="H1031" s="5" t="str">
        <f>IF(G1031=1,SUM($G$4:G1031),"")</f>
        <v/>
      </c>
    </row>
    <row r="1032" spans="1:8" x14ac:dyDescent="0.35">
      <c r="A1032" s="56" t="s">
        <v>2858</v>
      </c>
      <c r="B1032" s="56" t="s">
        <v>4130</v>
      </c>
      <c r="C1032" s="56" t="s">
        <v>4131</v>
      </c>
      <c r="D1032" s="39">
        <v>1195.43</v>
      </c>
      <c r="E1032" s="56" t="s">
        <v>4132</v>
      </c>
      <c r="F1032" s="55" t="s">
        <v>4133</v>
      </c>
      <c r="G1032" s="5">
        <f>IF(Estimation!$B$18="",0,IF(ISNUMBER(SEARCH(LOWER(Estimation!$B$18),F1032)),1,0))</f>
        <v>0</v>
      </c>
      <c r="H1032" s="5" t="str">
        <f>IF(G1032=1,SUM($G$4:G1032),"")</f>
        <v/>
      </c>
    </row>
    <row r="1033" spans="1:8" x14ac:dyDescent="0.35">
      <c r="A1033" s="56" t="s">
        <v>2858</v>
      </c>
      <c r="B1033" s="56" t="s">
        <v>4134</v>
      </c>
      <c r="C1033" s="56" t="s">
        <v>4135</v>
      </c>
      <c r="D1033" s="39">
        <v>672.44</v>
      </c>
      <c r="E1033" s="56" t="s">
        <v>4136</v>
      </c>
      <c r="F1033" s="55" t="s">
        <v>4137</v>
      </c>
      <c r="G1033" s="5">
        <f>IF(Estimation!$B$18="",0,IF(ISNUMBER(SEARCH(LOWER(Estimation!$B$18),F1033)),1,0))</f>
        <v>0</v>
      </c>
      <c r="H1033" s="5" t="str">
        <f>IF(G1033=1,SUM($G$4:G1033),"")</f>
        <v/>
      </c>
    </row>
    <row r="1034" spans="1:8" x14ac:dyDescent="0.35">
      <c r="A1034" s="56" t="s">
        <v>2858</v>
      </c>
      <c r="B1034" s="56" t="s">
        <v>4138</v>
      </c>
      <c r="C1034" s="56" t="s">
        <v>4139</v>
      </c>
      <c r="D1034" s="39">
        <v>597.72</v>
      </c>
      <c r="E1034" s="56" t="s">
        <v>4140</v>
      </c>
      <c r="F1034" s="55" t="s">
        <v>4141</v>
      </c>
      <c r="G1034" s="5">
        <f>IF(Estimation!$B$18="",0,IF(ISNUMBER(SEARCH(LOWER(Estimation!$B$18),F1034)),1,0))</f>
        <v>0</v>
      </c>
      <c r="H1034" s="5" t="str">
        <f>IF(G1034=1,SUM($G$4:G1034),"")</f>
        <v/>
      </c>
    </row>
    <row r="1035" spans="1:8" x14ac:dyDescent="0.35">
      <c r="A1035" s="56" t="s">
        <v>2858</v>
      </c>
      <c r="B1035" s="56" t="s">
        <v>4142</v>
      </c>
      <c r="C1035" s="56" t="s">
        <v>4143</v>
      </c>
      <c r="D1035" s="39">
        <v>2241.42</v>
      </c>
      <c r="E1035" s="56" t="s">
        <v>4144</v>
      </c>
      <c r="F1035" s="55" t="s">
        <v>4145</v>
      </c>
      <c r="G1035" s="5">
        <f>IF(Estimation!$B$18="",0,IF(ISNUMBER(SEARCH(LOWER(Estimation!$B$18),F1035)),1,0))</f>
        <v>0</v>
      </c>
      <c r="H1035" s="5" t="str">
        <f>IF(G1035=1,SUM($G$4:G1035),"")</f>
        <v/>
      </c>
    </row>
    <row r="1036" spans="1:8" x14ac:dyDescent="0.35">
      <c r="A1036" s="56" t="s">
        <v>2858</v>
      </c>
      <c r="B1036" s="56" t="s">
        <v>4146</v>
      </c>
      <c r="C1036" s="56" t="s">
        <v>4147</v>
      </c>
      <c r="D1036" s="39">
        <v>1045.99</v>
      </c>
      <c r="E1036" s="56" t="s">
        <v>4148</v>
      </c>
      <c r="F1036" s="55" t="s">
        <v>4149</v>
      </c>
      <c r="G1036" s="5">
        <f>IF(Estimation!$B$18="",0,IF(ISNUMBER(SEARCH(LOWER(Estimation!$B$18),F1036)),1,0))</f>
        <v>0</v>
      </c>
      <c r="H1036" s="5" t="str">
        <f>IF(G1036=1,SUM($G$4:G1036),"")</f>
        <v/>
      </c>
    </row>
    <row r="1037" spans="1:8" x14ac:dyDescent="0.35">
      <c r="A1037" s="56" t="s">
        <v>2858</v>
      </c>
      <c r="B1037" s="56" t="s">
        <v>4150</v>
      </c>
      <c r="C1037" s="56" t="s">
        <v>4151</v>
      </c>
      <c r="D1037" s="39">
        <v>1124.8</v>
      </c>
      <c r="E1037" s="56" t="s">
        <v>4152</v>
      </c>
      <c r="F1037" s="55" t="s">
        <v>4153</v>
      </c>
      <c r="G1037" s="5">
        <f>IF(Estimation!$B$18="",0,IF(ISNUMBER(SEARCH(LOWER(Estimation!$B$18),F1037)),1,0))</f>
        <v>0</v>
      </c>
      <c r="H1037" s="5" t="str">
        <f>IF(G1037=1,SUM($G$4:G1037),"")</f>
        <v/>
      </c>
    </row>
    <row r="1038" spans="1:8" x14ac:dyDescent="0.35">
      <c r="A1038" s="56" t="s">
        <v>2858</v>
      </c>
      <c r="B1038" s="56" t="s">
        <v>4154</v>
      </c>
      <c r="C1038" s="56" t="s">
        <v>4155</v>
      </c>
      <c r="D1038" s="39">
        <v>1124.8</v>
      </c>
      <c r="E1038" s="56" t="s">
        <v>4156</v>
      </c>
      <c r="F1038" s="55" t="s">
        <v>4157</v>
      </c>
      <c r="G1038" s="5">
        <f>IF(Estimation!$B$18="",0,IF(ISNUMBER(SEARCH(LOWER(Estimation!$B$18),F1038)),1,0))</f>
        <v>0</v>
      </c>
      <c r="H1038" s="5" t="str">
        <f>IF(G1038=1,SUM($G$4:G1038),"")</f>
        <v/>
      </c>
    </row>
    <row r="1039" spans="1:8" x14ac:dyDescent="0.35">
      <c r="A1039" s="56" t="s">
        <v>2858</v>
      </c>
      <c r="B1039" s="56" t="s">
        <v>4158</v>
      </c>
      <c r="C1039" s="56" t="s">
        <v>4159</v>
      </c>
      <c r="D1039" s="39">
        <v>1124.8</v>
      </c>
      <c r="E1039" s="56" t="s">
        <v>4160</v>
      </c>
      <c r="F1039" s="55" t="s">
        <v>4161</v>
      </c>
      <c r="G1039" s="5">
        <f>IF(Estimation!$B$18="",0,IF(ISNUMBER(SEARCH(LOWER(Estimation!$B$18),F1039)),1,0))</f>
        <v>0</v>
      </c>
      <c r="H1039" s="5" t="str">
        <f>IF(G1039=1,SUM($G$4:G1039),"")</f>
        <v/>
      </c>
    </row>
    <row r="1040" spans="1:8" x14ac:dyDescent="0.35">
      <c r="A1040" s="56" t="s">
        <v>2858</v>
      </c>
      <c r="B1040" s="56" t="s">
        <v>4162</v>
      </c>
      <c r="C1040" s="56" t="s">
        <v>4163</v>
      </c>
      <c r="D1040" s="39">
        <v>224.14</v>
      </c>
      <c r="E1040" s="56" t="s">
        <v>4164</v>
      </c>
      <c r="F1040" s="55" t="s">
        <v>4165</v>
      </c>
      <c r="G1040" s="5">
        <f>IF(Estimation!$B$18="",0,IF(ISNUMBER(SEARCH(LOWER(Estimation!$B$18),F1040)),1,0))</f>
        <v>0</v>
      </c>
      <c r="H1040" s="5" t="str">
        <f>IF(G1040=1,SUM($G$4:G1040),"")</f>
        <v/>
      </c>
    </row>
    <row r="1041" spans="1:8" x14ac:dyDescent="0.35">
      <c r="A1041" s="56" t="s">
        <v>2858</v>
      </c>
      <c r="B1041" s="56" t="s">
        <v>4166</v>
      </c>
      <c r="C1041" s="56" t="s">
        <v>4167</v>
      </c>
      <c r="D1041" s="39">
        <v>224.14</v>
      </c>
      <c r="E1041" s="56" t="s">
        <v>4168</v>
      </c>
      <c r="F1041" s="55" t="s">
        <v>4169</v>
      </c>
      <c r="G1041" s="5">
        <f>IF(Estimation!$B$18="",0,IF(ISNUMBER(SEARCH(LOWER(Estimation!$B$18),F1041)),1,0))</f>
        <v>0</v>
      </c>
      <c r="H1041" s="5" t="str">
        <f>IF(G1041=1,SUM($G$4:G1041),"")</f>
        <v/>
      </c>
    </row>
    <row r="1042" spans="1:8" x14ac:dyDescent="0.35">
      <c r="A1042" s="56" t="s">
        <v>2858</v>
      </c>
      <c r="B1042" s="56" t="s">
        <v>4170</v>
      </c>
      <c r="C1042" s="56" t="s">
        <v>4171</v>
      </c>
      <c r="D1042" s="39">
        <v>224.14</v>
      </c>
      <c r="E1042" s="56" t="s">
        <v>4172</v>
      </c>
      <c r="F1042" s="55" t="s">
        <v>4173</v>
      </c>
      <c r="G1042" s="5">
        <f>IF(Estimation!$B$18="",0,IF(ISNUMBER(SEARCH(LOWER(Estimation!$B$18),F1042)),1,0))</f>
        <v>0</v>
      </c>
      <c r="H1042" s="5" t="str">
        <f>IF(G1042=1,SUM($G$4:G1042),"")</f>
        <v/>
      </c>
    </row>
    <row r="1043" spans="1:8" x14ac:dyDescent="0.35">
      <c r="A1043" s="56" t="s">
        <v>2858</v>
      </c>
      <c r="B1043" s="56" t="s">
        <v>4174</v>
      </c>
      <c r="C1043" s="56" t="s">
        <v>4175</v>
      </c>
      <c r="D1043" s="39">
        <v>2472.92</v>
      </c>
      <c r="E1043" s="56" t="s">
        <v>4176</v>
      </c>
      <c r="F1043" s="55" t="s">
        <v>4177</v>
      </c>
      <c r="G1043" s="5">
        <f>IF(Estimation!$B$18="",0,IF(ISNUMBER(SEARCH(LOWER(Estimation!$B$18),F1043)),1,0))</f>
        <v>0</v>
      </c>
      <c r="H1043" s="5" t="str">
        <f>IF(G1043=1,SUM($G$4:G1043),"")</f>
        <v/>
      </c>
    </row>
    <row r="1044" spans="1:8" x14ac:dyDescent="0.35">
      <c r="A1044" s="56" t="s">
        <v>2858</v>
      </c>
      <c r="B1044" s="56" t="s">
        <v>4178</v>
      </c>
      <c r="C1044" s="56" t="s">
        <v>4179</v>
      </c>
      <c r="D1044" s="39">
        <v>2770.01</v>
      </c>
      <c r="E1044" s="56" t="s">
        <v>4180</v>
      </c>
      <c r="F1044" s="55" t="s">
        <v>4181</v>
      </c>
      <c r="G1044" s="5">
        <f>IF(Estimation!$B$18="",0,IF(ISNUMBER(SEARCH(LOWER(Estimation!$B$18),F1044)),1,0))</f>
        <v>0</v>
      </c>
      <c r="H1044" s="5" t="str">
        <f>IF(G1044=1,SUM($G$4:G1044),"")</f>
        <v/>
      </c>
    </row>
    <row r="1045" spans="1:8" x14ac:dyDescent="0.35">
      <c r="A1045" s="56" t="s">
        <v>2858</v>
      </c>
      <c r="B1045" s="56" t="s">
        <v>4182</v>
      </c>
      <c r="C1045" s="56" t="s">
        <v>4183</v>
      </c>
      <c r="D1045" s="39">
        <v>448.27</v>
      </c>
      <c r="E1045" s="56" t="s">
        <v>4184</v>
      </c>
      <c r="F1045" s="55" t="s">
        <v>4185</v>
      </c>
      <c r="G1045" s="5">
        <f>IF(Estimation!$B$18="",0,IF(ISNUMBER(SEARCH(LOWER(Estimation!$B$18),F1045)),1,0))</f>
        <v>0</v>
      </c>
      <c r="H1045" s="5" t="str">
        <f>IF(G1045=1,SUM($G$4:G1045),"")</f>
        <v/>
      </c>
    </row>
    <row r="1046" spans="1:8" x14ac:dyDescent="0.35">
      <c r="A1046" s="56" t="s">
        <v>2858</v>
      </c>
      <c r="B1046" s="56" t="s">
        <v>4186</v>
      </c>
      <c r="C1046" s="56" t="s">
        <v>4187</v>
      </c>
      <c r="D1046" s="39">
        <v>1054.18</v>
      </c>
      <c r="E1046" s="56" t="s">
        <v>4188</v>
      </c>
      <c r="F1046" s="55" t="s">
        <v>4189</v>
      </c>
      <c r="G1046" s="5">
        <f>IF(Estimation!$B$18="",0,IF(ISNUMBER(SEARCH(LOWER(Estimation!$B$18),F1046)),1,0))</f>
        <v>0</v>
      </c>
      <c r="H1046" s="5" t="str">
        <f>IF(G1046=1,SUM($G$4:G1046),"")</f>
        <v/>
      </c>
    </row>
    <row r="1047" spans="1:8" x14ac:dyDescent="0.35">
      <c r="A1047" s="56" t="s">
        <v>2858</v>
      </c>
      <c r="B1047" s="56" t="s">
        <v>4190</v>
      </c>
      <c r="C1047" s="56" t="s">
        <v>4191</v>
      </c>
      <c r="D1047" s="39">
        <v>1051.4100000000001</v>
      </c>
      <c r="E1047" s="56" t="s">
        <v>4192</v>
      </c>
      <c r="F1047" s="55" t="s">
        <v>4193</v>
      </c>
      <c r="G1047" s="5">
        <f>IF(Estimation!$B$18="",0,IF(ISNUMBER(SEARCH(LOWER(Estimation!$B$18),F1047)),1,0))</f>
        <v>0</v>
      </c>
      <c r="H1047" s="5" t="str">
        <f>IF(G1047=1,SUM($G$4:G1047),"")</f>
        <v/>
      </c>
    </row>
    <row r="1048" spans="1:8" x14ac:dyDescent="0.35">
      <c r="A1048" s="56" t="s">
        <v>2858</v>
      </c>
      <c r="B1048" s="56" t="s">
        <v>4194</v>
      </c>
      <c r="C1048" s="56" t="s">
        <v>4195</v>
      </c>
      <c r="D1048" s="39">
        <v>1506.62</v>
      </c>
      <c r="E1048" s="56" t="s">
        <v>4196</v>
      </c>
      <c r="F1048" s="55" t="s">
        <v>4197</v>
      </c>
      <c r="G1048" s="5">
        <f>IF(Estimation!$B$18="",0,IF(ISNUMBER(SEARCH(LOWER(Estimation!$B$18),F1048)),1,0))</f>
        <v>0</v>
      </c>
      <c r="H1048" s="5" t="str">
        <f>IF(G1048=1,SUM($G$4:G1048),"")</f>
        <v/>
      </c>
    </row>
    <row r="1049" spans="1:8" x14ac:dyDescent="0.35">
      <c r="A1049" s="56" t="s">
        <v>2858</v>
      </c>
      <c r="B1049" s="56" t="s">
        <v>4198</v>
      </c>
      <c r="C1049" s="56" t="s">
        <v>4199</v>
      </c>
      <c r="D1049" s="39">
        <v>666.23</v>
      </c>
      <c r="E1049" s="56" t="s">
        <v>4200</v>
      </c>
      <c r="F1049" s="55" t="s">
        <v>4201</v>
      </c>
      <c r="G1049" s="5">
        <f>IF(Estimation!$B$18="",0,IF(ISNUMBER(SEARCH(LOWER(Estimation!$B$18),F1049)),1,0))</f>
        <v>0</v>
      </c>
      <c r="H1049" s="5" t="str">
        <f>IF(G1049=1,SUM($G$4:G1049),"")</f>
        <v/>
      </c>
    </row>
    <row r="1050" spans="1:8" x14ac:dyDescent="0.35">
      <c r="A1050" s="56" t="s">
        <v>2858</v>
      </c>
      <c r="B1050" s="56" t="s">
        <v>4202</v>
      </c>
      <c r="C1050" s="56" t="s">
        <v>4203</v>
      </c>
      <c r="D1050" s="39">
        <v>701.86</v>
      </c>
      <c r="E1050" s="56" t="s">
        <v>4204</v>
      </c>
      <c r="F1050" s="55" t="s">
        <v>4205</v>
      </c>
      <c r="G1050" s="5">
        <f>IF(Estimation!$B$18="",0,IF(ISNUMBER(SEARCH(LOWER(Estimation!$B$18),F1050)),1,0))</f>
        <v>0</v>
      </c>
      <c r="H1050" s="5" t="str">
        <f>IF(G1050=1,SUM($G$4:G1050),"")</f>
        <v/>
      </c>
    </row>
    <row r="1051" spans="1:8" x14ac:dyDescent="0.35">
      <c r="A1051" s="56" t="s">
        <v>2858</v>
      </c>
      <c r="B1051" s="56" t="s">
        <v>4206</v>
      </c>
      <c r="C1051" s="56" t="s">
        <v>4207</v>
      </c>
      <c r="D1051" s="39">
        <v>1420.82</v>
      </c>
      <c r="E1051" s="56" t="s">
        <v>4208</v>
      </c>
      <c r="F1051" s="55" t="s">
        <v>4209</v>
      </c>
      <c r="G1051" s="5">
        <f>IF(Estimation!$B$18="",0,IF(ISNUMBER(SEARCH(LOWER(Estimation!$B$18),F1051)),1,0))</f>
        <v>0</v>
      </c>
      <c r="H1051" s="5" t="str">
        <f>IF(G1051=1,SUM($G$4:G1051),"")</f>
        <v/>
      </c>
    </row>
    <row r="1052" spans="1:8" x14ac:dyDescent="0.35">
      <c r="A1052" s="56" t="s">
        <v>2858</v>
      </c>
      <c r="B1052" s="56" t="s">
        <v>4210</v>
      </c>
      <c r="C1052" s="56" t="s">
        <v>4211</v>
      </c>
      <c r="D1052" s="39">
        <v>1295.8399999999999</v>
      </c>
      <c r="E1052" s="56" t="s">
        <v>4212</v>
      </c>
      <c r="F1052" s="55" t="s">
        <v>4213</v>
      </c>
      <c r="G1052" s="5">
        <f>IF(Estimation!$B$18="",0,IF(ISNUMBER(SEARCH(LOWER(Estimation!$B$18),F1052)),1,0))</f>
        <v>0</v>
      </c>
      <c r="H1052" s="5" t="str">
        <f>IF(G1052=1,SUM($G$4:G1052),"")</f>
        <v/>
      </c>
    </row>
    <row r="1053" spans="1:8" x14ac:dyDescent="0.35">
      <c r="A1053" s="56" t="s">
        <v>2858</v>
      </c>
      <c r="B1053" s="56" t="s">
        <v>4214</v>
      </c>
      <c r="C1053" s="56" t="s">
        <v>4215</v>
      </c>
      <c r="D1053" s="39">
        <v>2771.69</v>
      </c>
      <c r="E1053" s="56" t="s">
        <v>4216</v>
      </c>
      <c r="F1053" s="55" t="s">
        <v>4217</v>
      </c>
      <c r="G1053" s="5">
        <f>IF(Estimation!$B$18="",0,IF(ISNUMBER(SEARCH(LOWER(Estimation!$B$18),F1053)),1,0))</f>
        <v>0</v>
      </c>
      <c r="H1053" s="5" t="str">
        <f>IF(G1053=1,SUM($G$4:G1053),"")</f>
        <v/>
      </c>
    </row>
    <row r="1054" spans="1:8" x14ac:dyDescent="0.35">
      <c r="A1054" s="56" t="s">
        <v>2858</v>
      </c>
      <c r="B1054" s="56" t="s">
        <v>4218</v>
      </c>
      <c r="C1054" s="56" t="s">
        <v>4219</v>
      </c>
      <c r="D1054" s="39">
        <v>2550.09</v>
      </c>
      <c r="E1054" s="56" t="s">
        <v>4220</v>
      </c>
      <c r="F1054" s="55" t="s">
        <v>4221</v>
      </c>
      <c r="G1054" s="5">
        <f>IF(Estimation!$B$18="",0,IF(ISNUMBER(SEARCH(LOWER(Estimation!$B$18),F1054)),1,0))</f>
        <v>0</v>
      </c>
      <c r="H1054" s="5" t="str">
        <f>IF(G1054=1,SUM($G$4:G1054),"")</f>
        <v/>
      </c>
    </row>
    <row r="1055" spans="1:8" x14ac:dyDescent="0.35">
      <c r="A1055" s="56" t="s">
        <v>2858</v>
      </c>
      <c r="B1055" s="56" t="s">
        <v>4222</v>
      </c>
      <c r="C1055" s="56" t="s">
        <v>4223</v>
      </c>
      <c r="D1055" s="39">
        <v>2158.23</v>
      </c>
      <c r="E1055" s="56" t="s">
        <v>4224</v>
      </c>
      <c r="F1055" s="55" t="s">
        <v>4225</v>
      </c>
      <c r="G1055" s="5">
        <f>IF(Estimation!$B$18="",0,IF(ISNUMBER(SEARCH(LOWER(Estimation!$B$18),F1055)),1,0))</f>
        <v>0</v>
      </c>
      <c r="H1055" s="5" t="str">
        <f>IF(G1055=1,SUM($G$4:G1055),"")</f>
        <v/>
      </c>
    </row>
    <row r="1056" spans="1:8" x14ac:dyDescent="0.35">
      <c r="A1056" s="56" t="s">
        <v>2858</v>
      </c>
      <c r="B1056" s="56" t="s">
        <v>4226</v>
      </c>
      <c r="C1056" s="56" t="s">
        <v>4227</v>
      </c>
      <c r="D1056" s="39">
        <v>2886.14</v>
      </c>
      <c r="E1056" s="56" t="s">
        <v>4228</v>
      </c>
      <c r="F1056" s="55" t="s">
        <v>4229</v>
      </c>
      <c r="G1056" s="5">
        <f>IF(Estimation!$B$18="",0,IF(ISNUMBER(SEARCH(LOWER(Estimation!$B$18),F1056)),1,0))</f>
        <v>0</v>
      </c>
      <c r="H1056" s="5" t="str">
        <f>IF(G1056=1,SUM($G$4:G1056),"")</f>
        <v/>
      </c>
    </row>
    <row r="1057" spans="1:8" x14ac:dyDescent="0.35">
      <c r="A1057" s="56" t="s">
        <v>2858</v>
      </c>
      <c r="B1057" s="56" t="s">
        <v>4230</v>
      </c>
      <c r="C1057" s="56" t="s">
        <v>4231</v>
      </c>
      <c r="D1057" s="39">
        <v>366.18</v>
      </c>
      <c r="E1057" s="56" t="s">
        <v>4232</v>
      </c>
      <c r="F1057" s="55" t="s">
        <v>4233</v>
      </c>
      <c r="G1057" s="5">
        <f>IF(Estimation!$B$18="",0,IF(ISNUMBER(SEARCH(LOWER(Estimation!$B$18),F1057)),1,0))</f>
        <v>0</v>
      </c>
      <c r="H1057" s="5" t="str">
        <f>IF(G1057=1,SUM($G$4:G1057),"")</f>
        <v/>
      </c>
    </row>
    <row r="1058" spans="1:8" x14ac:dyDescent="0.35">
      <c r="A1058" s="56" t="s">
        <v>2858</v>
      </c>
      <c r="B1058" s="56" t="s">
        <v>4234</v>
      </c>
      <c r="C1058" s="56" t="s">
        <v>4235</v>
      </c>
      <c r="D1058" s="39">
        <v>2706.72</v>
      </c>
      <c r="E1058" s="56" t="s">
        <v>4236</v>
      </c>
      <c r="F1058" s="55" t="s">
        <v>4237</v>
      </c>
      <c r="G1058" s="5">
        <f>IF(Estimation!$B$18="",0,IF(ISNUMBER(SEARCH(LOWER(Estimation!$B$18),F1058)),1,0))</f>
        <v>0</v>
      </c>
      <c r="H1058" s="5" t="str">
        <f>IF(G1058=1,SUM($G$4:G1058),"")</f>
        <v/>
      </c>
    </row>
    <row r="1059" spans="1:8" x14ac:dyDescent="0.35">
      <c r="A1059" s="56" t="s">
        <v>2858</v>
      </c>
      <c r="B1059" s="56" t="s">
        <v>4238</v>
      </c>
      <c r="C1059" s="56" t="s">
        <v>4239</v>
      </c>
      <c r="D1059" s="39">
        <v>10319.709999999999</v>
      </c>
      <c r="E1059" s="56" t="s">
        <v>4240</v>
      </c>
      <c r="F1059" s="55" t="s">
        <v>4241</v>
      </c>
      <c r="G1059" s="5">
        <f>IF(Estimation!$B$18="",0,IF(ISNUMBER(SEARCH(LOWER(Estimation!$B$18),F1059)),1,0))</f>
        <v>0</v>
      </c>
      <c r="H1059" s="5" t="str">
        <f>IF(G1059=1,SUM($G$4:G1059),"")</f>
        <v/>
      </c>
    </row>
    <row r="1060" spans="1:8" x14ac:dyDescent="0.35">
      <c r="A1060" s="56" t="s">
        <v>2858</v>
      </c>
      <c r="B1060" s="56" t="s">
        <v>4242</v>
      </c>
      <c r="C1060" s="56" t="s">
        <v>4243</v>
      </c>
      <c r="D1060" s="39">
        <v>13286.2</v>
      </c>
      <c r="E1060" s="56" t="s">
        <v>4244</v>
      </c>
      <c r="F1060" s="55" t="s">
        <v>4245</v>
      </c>
      <c r="G1060" s="5">
        <f>IF(Estimation!$B$18="",0,IF(ISNUMBER(SEARCH(LOWER(Estimation!$B$18),F1060)),1,0))</f>
        <v>0</v>
      </c>
      <c r="H1060" s="5" t="str">
        <f>IF(G1060=1,SUM($G$4:G1060),"")</f>
        <v/>
      </c>
    </row>
    <row r="1061" spans="1:8" x14ac:dyDescent="0.35">
      <c r="A1061" s="56" t="s">
        <v>2858</v>
      </c>
      <c r="B1061" s="56" t="s">
        <v>4246</v>
      </c>
      <c r="C1061" s="56" t="s">
        <v>4247</v>
      </c>
      <c r="D1061" s="39">
        <v>508.14</v>
      </c>
      <c r="E1061" s="56" t="s">
        <v>4248</v>
      </c>
      <c r="F1061" s="55" t="s">
        <v>4249</v>
      </c>
      <c r="G1061" s="5">
        <f>IF(Estimation!$B$18="",0,IF(ISNUMBER(SEARCH(LOWER(Estimation!$B$18),F1061)),1,0))</f>
        <v>0</v>
      </c>
      <c r="H1061" s="5" t="str">
        <f>IF(G1061=1,SUM($G$4:G1061),"")</f>
        <v/>
      </c>
    </row>
    <row r="1062" spans="1:8" x14ac:dyDescent="0.35">
      <c r="A1062" s="56" t="s">
        <v>2858</v>
      </c>
      <c r="B1062" s="56" t="s">
        <v>4250</v>
      </c>
      <c r="C1062" s="56" t="s">
        <v>4251</v>
      </c>
      <c r="D1062" s="39">
        <v>25.16</v>
      </c>
      <c r="E1062" s="56" t="s">
        <v>4252</v>
      </c>
      <c r="F1062" s="55" t="s">
        <v>4253</v>
      </c>
      <c r="G1062" s="5">
        <f>IF(Estimation!$B$18="",0,IF(ISNUMBER(SEARCH(LOWER(Estimation!$B$18),F1062)),1,0))</f>
        <v>0</v>
      </c>
      <c r="H1062" s="5" t="str">
        <f>IF(G1062=1,SUM($G$4:G1062),"")</f>
        <v/>
      </c>
    </row>
    <row r="1063" spans="1:8" x14ac:dyDescent="0.35">
      <c r="A1063" s="56" t="s">
        <v>2858</v>
      </c>
      <c r="B1063" s="56" t="s">
        <v>4254</v>
      </c>
      <c r="C1063" s="56" t="s">
        <v>4255</v>
      </c>
      <c r="D1063" s="39">
        <v>25.16</v>
      </c>
      <c r="E1063" s="56" t="s">
        <v>4256</v>
      </c>
      <c r="F1063" s="55" t="s">
        <v>4257</v>
      </c>
      <c r="G1063" s="5">
        <f>IF(Estimation!$B$18="",0,IF(ISNUMBER(SEARCH(LOWER(Estimation!$B$18),F1063)),1,0))</f>
        <v>0</v>
      </c>
      <c r="H1063" s="5" t="str">
        <f>IF(G1063=1,SUM($G$4:G1063),"")</f>
        <v/>
      </c>
    </row>
    <row r="1064" spans="1:8" x14ac:dyDescent="0.35">
      <c r="A1064" s="56" t="s">
        <v>2858</v>
      </c>
      <c r="B1064" s="56" t="s">
        <v>4258</v>
      </c>
      <c r="C1064" s="56" t="s">
        <v>4259</v>
      </c>
      <c r="D1064" s="39">
        <v>2475.38</v>
      </c>
      <c r="E1064" s="56" t="s">
        <v>4260</v>
      </c>
      <c r="F1064" s="55" t="s">
        <v>4261</v>
      </c>
      <c r="G1064" s="5">
        <f>IF(Estimation!$B$18="",0,IF(ISNUMBER(SEARCH(LOWER(Estimation!$B$18),F1064)),1,0))</f>
        <v>0</v>
      </c>
      <c r="H1064" s="5" t="str">
        <f>IF(G1064=1,SUM($G$4:G1064),"")</f>
        <v/>
      </c>
    </row>
    <row r="1065" spans="1:8" x14ac:dyDescent="0.35">
      <c r="A1065" s="56" t="s">
        <v>2858</v>
      </c>
      <c r="B1065" s="56" t="s">
        <v>4262</v>
      </c>
      <c r="C1065" s="56" t="s">
        <v>4263</v>
      </c>
      <c r="D1065" s="39">
        <v>850.92</v>
      </c>
      <c r="E1065" s="56" t="s">
        <v>4264</v>
      </c>
      <c r="F1065" s="55" t="s">
        <v>4265</v>
      </c>
      <c r="G1065" s="5">
        <f>IF(Estimation!$B$18="",0,IF(ISNUMBER(SEARCH(LOWER(Estimation!$B$18),F1065)),1,0))</f>
        <v>0</v>
      </c>
      <c r="H1065" s="5" t="str">
        <f>IF(G1065=1,SUM($G$4:G1065),"")</f>
        <v/>
      </c>
    </row>
    <row r="1066" spans="1:8" x14ac:dyDescent="0.35">
      <c r="A1066" s="56" t="s">
        <v>2858</v>
      </c>
      <c r="B1066" s="56" t="s">
        <v>4266</v>
      </c>
      <c r="C1066" s="56" t="s">
        <v>4267</v>
      </c>
      <c r="D1066" s="39">
        <v>448.27</v>
      </c>
      <c r="E1066" s="56" t="s">
        <v>4268</v>
      </c>
      <c r="F1066" s="55" t="s">
        <v>4269</v>
      </c>
      <c r="G1066" s="5">
        <f>IF(Estimation!$B$18="",0,IF(ISNUMBER(SEARCH(LOWER(Estimation!$B$18),F1066)),1,0))</f>
        <v>0</v>
      </c>
      <c r="H1066" s="5" t="str">
        <f>IF(G1066=1,SUM($G$4:G1066),"")</f>
        <v/>
      </c>
    </row>
    <row r="1067" spans="1:8" x14ac:dyDescent="0.35">
      <c r="A1067" s="56" t="s">
        <v>2858</v>
      </c>
      <c r="B1067" s="56" t="s">
        <v>4270</v>
      </c>
      <c r="C1067" s="56" t="s">
        <v>4271</v>
      </c>
      <c r="D1067" s="39">
        <v>448.27</v>
      </c>
      <c r="E1067" s="56" t="s">
        <v>4272</v>
      </c>
      <c r="F1067" s="55" t="s">
        <v>4273</v>
      </c>
      <c r="G1067" s="5">
        <f>IF(Estimation!$B$18="",0,IF(ISNUMBER(SEARCH(LOWER(Estimation!$B$18),F1067)),1,0))</f>
        <v>0</v>
      </c>
      <c r="H1067" s="5" t="str">
        <f>IF(G1067=1,SUM($G$4:G1067),"")</f>
        <v/>
      </c>
    </row>
    <row r="1068" spans="1:8" x14ac:dyDescent="0.35">
      <c r="A1068" s="56" t="s">
        <v>2858</v>
      </c>
      <c r="B1068" s="56" t="s">
        <v>4274</v>
      </c>
      <c r="C1068" s="56" t="s">
        <v>4275</v>
      </c>
      <c r="D1068" s="39">
        <v>448.27</v>
      </c>
      <c r="E1068" s="56" t="s">
        <v>4276</v>
      </c>
      <c r="F1068" s="55" t="s">
        <v>4277</v>
      </c>
      <c r="G1068" s="5">
        <f>IF(Estimation!$B$18="",0,IF(ISNUMBER(SEARCH(LOWER(Estimation!$B$18),F1068)),1,0))</f>
        <v>0</v>
      </c>
      <c r="H1068" s="5" t="str">
        <f>IF(G1068=1,SUM($G$4:G1068),"")</f>
        <v/>
      </c>
    </row>
    <row r="1069" spans="1:8" x14ac:dyDescent="0.35">
      <c r="A1069" s="56" t="s">
        <v>2858</v>
      </c>
      <c r="B1069" s="56" t="s">
        <v>4278</v>
      </c>
      <c r="C1069" s="56" t="s">
        <v>4279</v>
      </c>
      <c r="D1069" s="39">
        <v>448.27</v>
      </c>
      <c r="E1069" s="56" t="s">
        <v>4280</v>
      </c>
      <c r="F1069" s="55" t="s">
        <v>4281</v>
      </c>
      <c r="G1069" s="5">
        <f>IF(Estimation!$B$18="",0,IF(ISNUMBER(SEARCH(LOWER(Estimation!$B$18),F1069)),1,0))</f>
        <v>0</v>
      </c>
      <c r="H1069" s="5" t="str">
        <f>IF(G1069=1,SUM($G$4:G1069),"")</f>
        <v/>
      </c>
    </row>
    <row r="1070" spans="1:8" x14ac:dyDescent="0.35">
      <c r="A1070" s="56" t="s">
        <v>2858</v>
      </c>
      <c r="B1070" s="56" t="s">
        <v>4282</v>
      </c>
      <c r="C1070" s="56" t="s">
        <v>4283</v>
      </c>
      <c r="D1070" s="39">
        <v>2451.31</v>
      </c>
      <c r="E1070" s="56" t="s">
        <v>4284</v>
      </c>
      <c r="F1070" s="55" t="s">
        <v>4285</v>
      </c>
      <c r="G1070" s="5">
        <f>IF(Estimation!$B$18="",0,IF(ISNUMBER(SEARCH(LOWER(Estimation!$B$18),F1070)),1,0))</f>
        <v>0</v>
      </c>
      <c r="H1070" s="5" t="str">
        <f>IF(G1070=1,SUM($G$4:G1070),"")</f>
        <v/>
      </c>
    </row>
    <row r="1071" spans="1:8" x14ac:dyDescent="0.35">
      <c r="A1071" s="56" t="s">
        <v>2858</v>
      </c>
      <c r="B1071" s="56" t="s">
        <v>4286</v>
      </c>
      <c r="C1071" s="56" t="s">
        <v>4287</v>
      </c>
      <c r="D1071" s="39">
        <v>704.38</v>
      </c>
      <c r="E1071" s="56" t="s">
        <v>4288</v>
      </c>
      <c r="F1071" s="55" t="s">
        <v>4289</v>
      </c>
      <c r="G1071" s="5">
        <f>IF(Estimation!$B$18="",0,IF(ISNUMBER(SEARCH(LOWER(Estimation!$B$18),F1071)),1,0))</f>
        <v>0</v>
      </c>
      <c r="H1071" s="5" t="str">
        <f>IF(G1071=1,SUM($G$4:G1071),"")</f>
        <v/>
      </c>
    </row>
    <row r="1072" spans="1:8" x14ac:dyDescent="0.35">
      <c r="A1072" s="56" t="s">
        <v>2858</v>
      </c>
      <c r="B1072" s="56" t="s">
        <v>4290</v>
      </c>
      <c r="C1072" s="56" t="s">
        <v>4291</v>
      </c>
      <c r="D1072" s="39">
        <v>169.65</v>
      </c>
      <c r="E1072" s="56" t="s">
        <v>4292</v>
      </c>
      <c r="F1072" s="55" t="s">
        <v>4293</v>
      </c>
      <c r="G1072" s="5">
        <f>IF(Estimation!$B$18="",0,IF(ISNUMBER(SEARCH(LOWER(Estimation!$B$18),F1072)),1,0))</f>
        <v>0</v>
      </c>
      <c r="H1072" s="5" t="str">
        <f>IF(G1072=1,SUM($G$4:G1072),"")</f>
        <v/>
      </c>
    </row>
    <row r="1073" spans="1:8" x14ac:dyDescent="0.35">
      <c r="A1073" s="56" t="s">
        <v>2858</v>
      </c>
      <c r="B1073" s="56" t="s">
        <v>4294</v>
      </c>
      <c r="C1073" s="56" t="s">
        <v>4295</v>
      </c>
      <c r="D1073" s="39">
        <v>228.22</v>
      </c>
      <c r="E1073" s="56" t="s">
        <v>4296</v>
      </c>
      <c r="F1073" s="55" t="s">
        <v>4297</v>
      </c>
      <c r="G1073" s="5">
        <f>IF(Estimation!$B$18="",0,IF(ISNUMBER(SEARCH(LOWER(Estimation!$B$18),F1073)),1,0))</f>
        <v>0</v>
      </c>
      <c r="H1073" s="5" t="str">
        <f>IF(G1073=1,SUM($G$4:G1073),"")</f>
        <v/>
      </c>
    </row>
    <row r="1074" spans="1:8" x14ac:dyDescent="0.35">
      <c r="A1074" s="56" t="s">
        <v>2858</v>
      </c>
      <c r="B1074" s="56" t="s">
        <v>4298</v>
      </c>
      <c r="C1074" s="56" t="s">
        <v>4299</v>
      </c>
      <c r="D1074" s="39">
        <v>373.57</v>
      </c>
      <c r="E1074" s="56" t="s">
        <v>4300</v>
      </c>
      <c r="F1074" s="55" t="s">
        <v>4301</v>
      </c>
      <c r="G1074" s="5">
        <f>IF(Estimation!$B$18="",0,IF(ISNUMBER(SEARCH(LOWER(Estimation!$B$18),F1074)),1,0))</f>
        <v>0</v>
      </c>
      <c r="H1074" s="5" t="str">
        <f>IF(G1074=1,SUM($G$4:G1074),"")</f>
        <v/>
      </c>
    </row>
    <row r="1075" spans="1:8" x14ac:dyDescent="0.35">
      <c r="A1075" s="56" t="s">
        <v>2858</v>
      </c>
      <c r="B1075" s="56" t="s">
        <v>4302</v>
      </c>
      <c r="C1075" s="56" t="s">
        <v>4303</v>
      </c>
      <c r="D1075" s="39">
        <v>403.45</v>
      </c>
      <c r="E1075" s="56" t="s">
        <v>4304</v>
      </c>
      <c r="F1075" s="55" t="s">
        <v>4305</v>
      </c>
      <c r="G1075" s="5">
        <f>IF(Estimation!$B$18="",0,IF(ISNUMBER(SEARCH(LOWER(Estimation!$B$18),F1075)),1,0))</f>
        <v>0</v>
      </c>
      <c r="H1075" s="5" t="str">
        <f>IF(G1075=1,SUM($G$4:G1075),"")</f>
        <v/>
      </c>
    </row>
    <row r="1076" spans="1:8" x14ac:dyDescent="0.35">
      <c r="A1076" s="56" t="s">
        <v>2858</v>
      </c>
      <c r="B1076" s="56" t="s">
        <v>4306</v>
      </c>
      <c r="C1076" s="56" t="s">
        <v>4307</v>
      </c>
      <c r="D1076" s="39">
        <v>194.26</v>
      </c>
      <c r="E1076" s="56" t="s">
        <v>4308</v>
      </c>
      <c r="F1076" s="55" t="s">
        <v>4309</v>
      </c>
      <c r="G1076" s="5">
        <f>IF(Estimation!$B$18="",0,IF(ISNUMBER(SEARCH(LOWER(Estimation!$B$18),F1076)),1,0))</f>
        <v>0</v>
      </c>
      <c r="H1076" s="5" t="str">
        <f>IF(G1076=1,SUM($G$4:G1076),"")</f>
        <v/>
      </c>
    </row>
    <row r="1077" spans="1:8" x14ac:dyDescent="0.35">
      <c r="A1077" s="56" t="s">
        <v>2858</v>
      </c>
      <c r="B1077" s="56" t="s">
        <v>4310</v>
      </c>
      <c r="C1077" s="56" t="s">
        <v>4311</v>
      </c>
      <c r="D1077" s="39">
        <v>328.74</v>
      </c>
      <c r="E1077" s="56" t="s">
        <v>4312</v>
      </c>
      <c r="F1077" s="55" t="s">
        <v>4313</v>
      </c>
      <c r="G1077" s="5">
        <f>IF(Estimation!$B$18="",0,IF(ISNUMBER(SEARCH(LOWER(Estimation!$B$18),F1077)),1,0))</f>
        <v>0</v>
      </c>
      <c r="H1077" s="5" t="str">
        <f>IF(G1077=1,SUM($G$4:G1077),"")</f>
        <v/>
      </c>
    </row>
    <row r="1078" spans="1:8" x14ac:dyDescent="0.35">
      <c r="A1078" s="56" t="s">
        <v>2858</v>
      </c>
      <c r="B1078" s="56" t="s">
        <v>4314</v>
      </c>
      <c r="C1078" s="56" t="s">
        <v>4315</v>
      </c>
      <c r="D1078" s="39">
        <v>3863.41</v>
      </c>
      <c r="E1078" s="56" t="s">
        <v>4316</v>
      </c>
      <c r="F1078" s="55" t="s">
        <v>4317</v>
      </c>
      <c r="G1078" s="5">
        <f>IF(Estimation!$B$18="",0,IF(ISNUMBER(SEARCH(LOWER(Estimation!$B$18),F1078)),1,0))</f>
        <v>0</v>
      </c>
      <c r="H1078" s="5" t="str">
        <f>IF(G1078=1,SUM($G$4:G1078),"")</f>
        <v/>
      </c>
    </row>
    <row r="1079" spans="1:8" x14ac:dyDescent="0.35">
      <c r="A1079" s="56" t="s">
        <v>2858</v>
      </c>
      <c r="B1079" s="56" t="s">
        <v>4318</v>
      </c>
      <c r="C1079" s="56" t="s">
        <v>4319</v>
      </c>
      <c r="D1079" s="39">
        <v>2689.73</v>
      </c>
      <c r="E1079" s="56" t="s">
        <v>4320</v>
      </c>
      <c r="F1079" s="55" t="s">
        <v>4321</v>
      </c>
      <c r="G1079" s="5">
        <f>IF(Estimation!$B$18="",0,IF(ISNUMBER(SEARCH(LOWER(Estimation!$B$18),F1079)),1,0))</f>
        <v>0</v>
      </c>
      <c r="H1079" s="5" t="str">
        <f>IF(G1079=1,SUM($G$4:G1079),"")</f>
        <v/>
      </c>
    </row>
    <row r="1080" spans="1:8" x14ac:dyDescent="0.35">
      <c r="A1080" s="56" t="s">
        <v>2858</v>
      </c>
      <c r="B1080" s="56" t="s">
        <v>4322</v>
      </c>
      <c r="C1080" s="56" t="s">
        <v>4323</v>
      </c>
      <c r="D1080" s="39">
        <v>2913.85</v>
      </c>
      <c r="E1080" s="56" t="s">
        <v>4324</v>
      </c>
      <c r="F1080" s="55" t="s">
        <v>4325</v>
      </c>
      <c r="G1080" s="5">
        <f>IF(Estimation!$B$18="",0,IF(ISNUMBER(SEARCH(LOWER(Estimation!$B$18),F1080)),1,0))</f>
        <v>0</v>
      </c>
      <c r="H1080" s="5" t="str">
        <f>IF(G1080=1,SUM($G$4:G1080),"")</f>
        <v/>
      </c>
    </row>
    <row r="1081" spans="1:8" x14ac:dyDescent="0.35">
      <c r="A1081" s="56" t="s">
        <v>2858</v>
      </c>
      <c r="B1081" s="56" t="s">
        <v>4326</v>
      </c>
      <c r="C1081" s="56" t="s">
        <v>4327</v>
      </c>
      <c r="D1081" s="39">
        <v>3135.28</v>
      </c>
      <c r="E1081" s="56" t="s">
        <v>4328</v>
      </c>
      <c r="F1081" s="55" t="s">
        <v>4329</v>
      </c>
      <c r="G1081" s="5">
        <f>IF(Estimation!$B$18="",0,IF(ISNUMBER(SEARCH(LOWER(Estimation!$B$18),F1081)),1,0))</f>
        <v>0</v>
      </c>
      <c r="H1081" s="5" t="str">
        <f>IF(G1081=1,SUM($G$4:G1081),"")</f>
        <v/>
      </c>
    </row>
    <row r="1082" spans="1:8" x14ac:dyDescent="0.35">
      <c r="A1082" s="56" t="s">
        <v>2858</v>
      </c>
      <c r="B1082" s="56" t="s">
        <v>4330</v>
      </c>
      <c r="C1082" s="56" t="s">
        <v>4331</v>
      </c>
      <c r="D1082" s="39">
        <v>2657.12</v>
      </c>
      <c r="E1082" s="56" t="s">
        <v>4332</v>
      </c>
      <c r="F1082" s="55" t="s">
        <v>4333</v>
      </c>
      <c r="G1082" s="5">
        <f>IF(Estimation!$B$18="",0,IF(ISNUMBER(SEARCH(LOWER(Estimation!$B$18),F1082)),1,0))</f>
        <v>0</v>
      </c>
      <c r="H1082" s="5" t="str">
        <f>IF(G1082=1,SUM($G$4:G1082),"")</f>
        <v/>
      </c>
    </row>
    <row r="1083" spans="1:8" x14ac:dyDescent="0.35">
      <c r="A1083" s="56" t="s">
        <v>2858</v>
      </c>
      <c r="B1083" s="56" t="s">
        <v>4334</v>
      </c>
      <c r="C1083" s="56" t="s">
        <v>4335</v>
      </c>
      <c r="D1083" s="39">
        <v>2689.73</v>
      </c>
      <c r="E1083" s="56" t="s">
        <v>4336</v>
      </c>
      <c r="F1083" s="55" t="s">
        <v>4337</v>
      </c>
      <c r="G1083" s="5">
        <f>IF(Estimation!$B$18="",0,IF(ISNUMBER(SEARCH(LOWER(Estimation!$B$18),F1083)),1,0))</f>
        <v>0</v>
      </c>
      <c r="H1083" s="5" t="str">
        <f>IF(G1083=1,SUM($G$4:G1083),"")</f>
        <v/>
      </c>
    </row>
    <row r="1084" spans="1:8" x14ac:dyDescent="0.35">
      <c r="A1084" s="56" t="s">
        <v>2858</v>
      </c>
      <c r="B1084" s="56" t="s">
        <v>4338</v>
      </c>
      <c r="C1084" s="56" t="s">
        <v>4339</v>
      </c>
      <c r="D1084" s="39">
        <v>2913.85</v>
      </c>
      <c r="E1084" s="56" t="s">
        <v>4340</v>
      </c>
      <c r="F1084" s="55" t="s">
        <v>4341</v>
      </c>
      <c r="G1084" s="5">
        <f>IF(Estimation!$B$18="",0,IF(ISNUMBER(SEARCH(LOWER(Estimation!$B$18),F1084)),1,0))</f>
        <v>0</v>
      </c>
      <c r="H1084" s="5" t="str">
        <f>IF(G1084=1,SUM($G$4:G1084),"")</f>
        <v/>
      </c>
    </row>
    <row r="1085" spans="1:8" x14ac:dyDescent="0.35">
      <c r="A1085" s="56" t="s">
        <v>2858</v>
      </c>
      <c r="B1085" s="56" t="s">
        <v>4342</v>
      </c>
      <c r="C1085" s="56" t="s">
        <v>4343</v>
      </c>
      <c r="D1085" s="39">
        <v>1045.99</v>
      </c>
      <c r="E1085" s="56" t="s">
        <v>4344</v>
      </c>
      <c r="F1085" s="55" t="s">
        <v>4345</v>
      </c>
      <c r="G1085" s="5">
        <f>IF(Estimation!$B$18="",0,IF(ISNUMBER(SEARCH(LOWER(Estimation!$B$18),F1085)),1,0))</f>
        <v>0</v>
      </c>
      <c r="H1085" s="5" t="str">
        <f>IF(G1085=1,SUM($G$4:G1085),"")</f>
        <v/>
      </c>
    </row>
    <row r="1086" spans="1:8" x14ac:dyDescent="0.35">
      <c r="A1086" s="56" t="s">
        <v>2858</v>
      </c>
      <c r="B1086" s="56" t="s">
        <v>4346</v>
      </c>
      <c r="C1086" s="56" t="s">
        <v>4347</v>
      </c>
      <c r="D1086" s="39">
        <v>672.44</v>
      </c>
      <c r="E1086" s="56" t="s">
        <v>4348</v>
      </c>
      <c r="F1086" s="55" t="s">
        <v>4349</v>
      </c>
      <c r="G1086" s="5">
        <f>IF(Estimation!$B$18="",0,IF(ISNUMBER(SEARCH(LOWER(Estimation!$B$18),F1086)),1,0))</f>
        <v>0</v>
      </c>
      <c r="H1086" s="5" t="str">
        <f>IF(G1086=1,SUM($G$4:G1086),"")</f>
        <v/>
      </c>
    </row>
    <row r="1087" spans="1:8" x14ac:dyDescent="0.35">
      <c r="A1087" s="56" t="s">
        <v>2858</v>
      </c>
      <c r="B1087" s="56" t="s">
        <v>4350</v>
      </c>
      <c r="C1087" s="56" t="s">
        <v>4351</v>
      </c>
      <c r="D1087" s="39">
        <v>932.43</v>
      </c>
      <c r="E1087" s="56" t="s">
        <v>4352</v>
      </c>
      <c r="F1087" s="55" t="s">
        <v>4353</v>
      </c>
      <c r="G1087" s="5">
        <f>IF(Estimation!$B$18="",0,IF(ISNUMBER(SEARCH(LOWER(Estimation!$B$18),F1087)),1,0))</f>
        <v>0</v>
      </c>
      <c r="H1087" s="5" t="str">
        <f>IF(G1087=1,SUM($G$4:G1087),"")</f>
        <v/>
      </c>
    </row>
    <row r="1088" spans="1:8" x14ac:dyDescent="0.35">
      <c r="A1088" s="56" t="s">
        <v>2858</v>
      </c>
      <c r="B1088" s="56" t="s">
        <v>4354</v>
      </c>
      <c r="C1088" s="56" t="s">
        <v>4355</v>
      </c>
      <c r="D1088" s="39">
        <v>1344.86</v>
      </c>
      <c r="E1088" s="56" t="s">
        <v>4356</v>
      </c>
      <c r="F1088" s="55" t="s">
        <v>4357</v>
      </c>
      <c r="G1088" s="5">
        <f>IF(Estimation!$B$18="",0,IF(ISNUMBER(SEARCH(LOWER(Estimation!$B$18),F1088)),1,0))</f>
        <v>0</v>
      </c>
      <c r="H1088" s="5" t="str">
        <f>IF(G1088=1,SUM($G$4:G1088),"")</f>
        <v/>
      </c>
    </row>
    <row r="1089" spans="1:8" x14ac:dyDescent="0.35">
      <c r="A1089" s="56" t="s">
        <v>2858</v>
      </c>
      <c r="B1089" s="56" t="s">
        <v>4358</v>
      </c>
      <c r="C1089" s="56" t="s">
        <v>4359</v>
      </c>
      <c r="D1089" s="39">
        <v>1120.71</v>
      </c>
      <c r="E1089" s="56" t="s">
        <v>4360</v>
      </c>
      <c r="F1089" s="55" t="s">
        <v>4361</v>
      </c>
      <c r="G1089" s="5">
        <f>IF(Estimation!$B$18="",0,IF(ISNUMBER(SEARCH(LOWER(Estimation!$B$18),F1089)),1,0))</f>
        <v>0</v>
      </c>
      <c r="H1089" s="5" t="str">
        <f>IF(G1089=1,SUM($G$4:G1089),"")</f>
        <v/>
      </c>
    </row>
    <row r="1090" spans="1:8" x14ac:dyDescent="0.35">
      <c r="A1090" s="56" t="s">
        <v>2858</v>
      </c>
      <c r="B1090" s="56" t="s">
        <v>4362</v>
      </c>
      <c r="C1090" s="56" t="s">
        <v>4363</v>
      </c>
      <c r="D1090" s="39">
        <v>971.3</v>
      </c>
      <c r="E1090" s="56" t="s">
        <v>4364</v>
      </c>
      <c r="F1090" s="55" t="s">
        <v>4365</v>
      </c>
      <c r="G1090" s="5">
        <f>IF(Estimation!$B$18="",0,IF(ISNUMBER(SEARCH(LOWER(Estimation!$B$18),F1090)),1,0))</f>
        <v>0</v>
      </c>
      <c r="H1090" s="5" t="str">
        <f>IF(G1090=1,SUM($G$4:G1090),"")</f>
        <v/>
      </c>
    </row>
    <row r="1091" spans="1:8" x14ac:dyDescent="0.35">
      <c r="A1091" s="56" t="s">
        <v>2858</v>
      </c>
      <c r="B1091" s="56" t="s">
        <v>4366</v>
      </c>
      <c r="C1091" s="56" t="s">
        <v>4367</v>
      </c>
      <c r="D1091" s="39">
        <v>1010.15</v>
      </c>
      <c r="E1091" s="56" t="s">
        <v>4368</v>
      </c>
      <c r="F1091" s="55" t="s">
        <v>4369</v>
      </c>
      <c r="G1091" s="5">
        <f>IF(Estimation!$B$18="",0,IF(ISNUMBER(SEARCH(LOWER(Estimation!$B$18),F1091)),1,0))</f>
        <v>0</v>
      </c>
      <c r="H1091" s="5" t="str">
        <f>IF(G1091=1,SUM($G$4:G1091),"")</f>
        <v/>
      </c>
    </row>
    <row r="1092" spans="1:8" x14ac:dyDescent="0.35">
      <c r="A1092" s="56" t="s">
        <v>2858</v>
      </c>
      <c r="B1092" s="56" t="s">
        <v>4370</v>
      </c>
      <c r="C1092" s="56" t="s">
        <v>4371</v>
      </c>
      <c r="D1092" s="39">
        <v>254.98</v>
      </c>
      <c r="E1092" s="56" t="s">
        <v>4372</v>
      </c>
      <c r="F1092" s="55" t="s">
        <v>4373</v>
      </c>
      <c r="G1092" s="5">
        <f>IF(Estimation!$B$18="",0,IF(ISNUMBER(SEARCH(LOWER(Estimation!$B$18),F1092)),1,0))</f>
        <v>0</v>
      </c>
      <c r="H1092" s="5" t="str">
        <f>IF(G1092=1,SUM($G$4:G1092),"")</f>
        <v/>
      </c>
    </row>
    <row r="1093" spans="1:8" x14ac:dyDescent="0.35">
      <c r="A1093" s="56" t="s">
        <v>2858</v>
      </c>
      <c r="B1093" s="56" t="s">
        <v>4374</v>
      </c>
      <c r="C1093" s="56" t="s">
        <v>4375</v>
      </c>
      <c r="D1093" s="39">
        <v>179.32</v>
      </c>
      <c r="E1093" s="56" t="s">
        <v>4376</v>
      </c>
      <c r="F1093" s="55" t="s">
        <v>4377</v>
      </c>
      <c r="G1093" s="5">
        <f>IF(Estimation!$B$18="",0,IF(ISNUMBER(SEARCH(LOWER(Estimation!$B$18),F1093)),1,0))</f>
        <v>0</v>
      </c>
      <c r="H1093" s="5" t="str">
        <f>IF(G1093=1,SUM($G$4:G1093),"")</f>
        <v/>
      </c>
    </row>
    <row r="1094" spans="1:8" x14ac:dyDescent="0.35">
      <c r="A1094" s="56" t="s">
        <v>2858</v>
      </c>
      <c r="B1094" s="56" t="s">
        <v>4378</v>
      </c>
      <c r="C1094" s="56" t="s">
        <v>4379</v>
      </c>
      <c r="D1094" s="39">
        <v>1326.93</v>
      </c>
      <c r="E1094" s="56" t="s">
        <v>4380</v>
      </c>
      <c r="F1094" s="55" t="s">
        <v>4381</v>
      </c>
      <c r="G1094" s="5">
        <f>IF(Estimation!$B$18="",0,IF(ISNUMBER(SEARCH(LOWER(Estimation!$B$18),F1094)),1,0))</f>
        <v>0</v>
      </c>
      <c r="H1094" s="5" t="str">
        <f>IF(G1094=1,SUM($G$4:G1094),"")</f>
        <v/>
      </c>
    </row>
    <row r="1095" spans="1:8" x14ac:dyDescent="0.35">
      <c r="A1095" s="56" t="s">
        <v>2858</v>
      </c>
      <c r="B1095" s="56" t="s">
        <v>4382</v>
      </c>
      <c r="C1095" s="56" t="s">
        <v>4383</v>
      </c>
      <c r="D1095" s="39">
        <v>515.51</v>
      </c>
      <c r="E1095" s="56" t="s">
        <v>4384</v>
      </c>
      <c r="F1095" s="55" t="s">
        <v>4385</v>
      </c>
      <c r="G1095" s="5">
        <f>IF(Estimation!$B$18="",0,IF(ISNUMBER(SEARCH(LOWER(Estimation!$B$18),F1095)),1,0))</f>
        <v>0</v>
      </c>
      <c r="H1095" s="5" t="str">
        <f>IF(G1095=1,SUM($G$4:G1095),"")</f>
        <v/>
      </c>
    </row>
    <row r="1096" spans="1:8" x14ac:dyDescent="0.35">
      <c r="A1096" s="56" t="s">
        <v>2858</v>
      </c>
      <c r="B1096" s="56" t="s">
        <v>4386</v>
      </c>
      <c r="C1096" s="56" t="s">
        <v>4387</v>
      </c>
      <c r="D1096" s="39">
        <v>691.11</v>
      </c>
      <c r="E1096" s="56" t="s">
        <v>4388</v>
      </c>
      <c r="F1096" s="55" t="s">
        <v>4389</v>
      </c>
      <c r="G1096" s="5">
        <f>IF(Estimation!$B$18="",0,IF(ISNUMBER(SEARCH(LOWER(Estimation!$B$18),F1096)),1,0))</f>
        <v>0</v>
      </c>
      <c r="H1096" s="5" t="str">
        <f>IF(G1096=1,SUM($G$4:G1096),"")</f>
        <v/>
      </c>
    </row>
    <row r="1097" spans="1:8" x14ac:dyDescent="0.35">
      <c r="A1097" s="56" t="s">
        <v>2858</v>
      </c>
      <c r="B1097" s="56" t="s">
        <v>4390</v>
      </c>
      <c r="C1097" s="56" t="s">
        <v>4391</v>
      </c>
      <c r="D1097" s="39">
        <v>143.46</v>
      </c>
      <c r="E1097" s="56" t="s">
        <v>4392</v>
      </c>
      <c r="F1097" s="55" t="s">
        <v>4393</v>
      </c>
      <c r="G1097" s="5">
        <f>IF(Estimation!$B$18="",0,IF(ISNUMBER(SEARCH(LOWER(Estimation!$B$18),F1097)),1,0))</f>
        <v>0</v>
      </c>
      <c r="H1097" s="5" t="str">
        <f>IF(G1097=1,SUM($G$4:G1097),"")</f>
        <v/>
      </c>
    </row>
    <row r="1098" spans="1:8" x14ac:dyDescent="0.35">
      <c r="A1098" s="56" t="s">
        <v>2858</v>
      </c>
      <c r="B1098" s="56" t="s">
        <v>4394</v>
      </c>
      <c r="C1098" s="56" t="s">
        <v>4395</v>
      </c>
      <c r="D1098" s="39">
        <v>427.57</v>
      </c>
      <c r="E1098" s="56" t="s">
        <v>4396</v>
      </c>
      <c r="F1098" s="55" t="s">
        <v>4397</v>
      </c>
      <c r="G1098" s="5">
        <f>IF(Estimation!$B$18="",0,IF(ISNUMBER(SEARCH(LOWER(Estimation!$B$18),F1098)),1,0))</f>
        <v>0</v>
      </c>
      <c r="H1098" s="5" t="str">
        <f>IF(G1098=1,SUM($G$4:G1098),"")</f>
        <v/>
      </c>
    </row>
    <row r="1099" spans="1:8" x14ac:dyDescent="0.35">
      <c r="A1099" s="56" t="s">
        <v>2858</v>
      </c>
      <c r="B1099" s="56" t="s">
        <v>4398</v>
      </c>
      <c r="C1099" s="56" t="s">
        <v>4399</v>
      </c>
      <c r="D1099" s="39">
        <v>206.78</v>
      </c>
      <c r="E1099" s="56" t="s">
        <v>4400</v>
      </c>
      <c r="F1099" s="55" t="s">
        <v>4401</v>
      </c>
      <c r="G1099" s="5">
        <f>IF(Estimation!$B$18="",0,IF(ISNUMBER(SEARCH(LOWER(Estimation!$B$18),F1099)),1,0))</f>
        <v>0</v>
      </c>
      <c r="H1099" s="5" t="str">
        <f>IF(G1099=1,SUM($G$4:G1099),"")</f>
        <v/>
      </c>
    </row>
    <row r="1100" spans="1:8" x14ac:dyDescent="0.35">
      <c r="A1100" s="56" t="s">
        <v>2858</v>
      </c>
      <c r="B1100" s="56" t="s">
        <v>4402</v>
      </c>
      <c r="C1100" s="56" t="s">
        <v>4403</v>
      </c>
      <c r="D1100" s="39">
        <v>74.72</v>
      </c>
      <c r="E1100" s="56" t="s">
        <v>4404</v>
      </c>
      <c r="F1100" s="55" t="s">
        <v>4405</v>
      </c>
      <c r="G1100" s="5">
        <f>IF(Estimation!$B$18="",0,IF(ISNUMBER(SEARCH(LOWER(Estimation!$B$18),F1100)),1,0))</f>
        <v>0</v>
      </c>
      <c r="H1100" s="5" t="str">
        <f>IF(G1100=1,SUM($G$4:G1100),"")</f>
        <v/>
      </c>
    </row>
    <row r="1101" spans="1:8" x14ac:dyDescent="0.35">
      <c r="A1101" s="56" t="s">
        <v>2858</v>
      </c>
      <c r="B1101" s="56" t="s">
        <v>4406</v>
      </c>
      <c r="C1101" s="56" t="s">
        <v>4407</v>
      </c>
      <c r="D1101" s="39">
        <v>430.44</v>
      </c>
      <c r="E1101" s="56" t="s">
        <v>4408</v>
      </c>
      <c r="F1101" s="55" t="s">
        <v>4409</v>
      </c>
      <c r="G1101" s="5">
        <f>IF(Estimation!$B$18="",0,IF(ISNUMBER(SEARCH(LOWER(Estimation!$B$18),F1101)),1,0))</f>
        <v>0</v>
      </c>
      <c r="H1101" s="5" t="str">
        <f>IF(G1101=1,SUM($G$4:G1101),"")</f>
        <v/>
      </c>
    </row>
    <row r="1102" spans="1:8" x14ac:dyDescent="0.35">
      <c r="A1102" s="56" t="s">
        <v>2858</v>
      </c>
      <c r="B1102" s="56" t="s">
        <v>4410</v>
      </c>
      <c r="C1102" s="56" t="s">
        <v>4411</v>
      </c>
      <c r="D1102" s="39">
        <v>239.58</v>
      </c>
      <c r="E1102" s="56" t="s">
        <v>4412</v>
      </c>
      <c r="F1102" s="55" t="s">
        <v>4413</v>
      </c>
      <c r="G1102" s="5">
        <f>IF(Estimation!$B$18="",0,IF(ISNUMBER(SEARCH(LOWER(Estimation!$B$18),F1102)),1,0))</f>
        <v>0</v>
      </c>
      <c r="H1102" s="5" t="str">
        <f>IF(G1102=1,SUM($G$4:G1102),"")</f>
        <v/>
      </c>
    </row>
    <row r="1103" spans="1:8" x14ac:dyDescent="0.35">
      <c r="A1103" s="56" t="s">
        <v>2858</v>
      </c>
      <c r="B1103" s="56" t="s">
        <v>4414</v>
      </c>
      <c r="C1103" s="56" t="s">
        <v>4415</v>
      </c>
      <c r="D1103" s="39">
        <v>1382.22</v>
      </c>
      <c r="E1103" s="56" t="s">
        <v>4416</v>
      </c>
      <c r="F1103" s="55" t="s">
        <v>4417</v>
      </c>
      <c r="G1103" s="5">
        <f>IF(Estimation!$B$18="",0,IF(ISNUMBER(SEARCH(LOWER(Estimation!$B$18),F1103)),1,0))</f>
        <v>0</v>
      </c>
      <c r="H1103" s="5" t="str">
        <f>IF(G1103=1,SUM($G$4:G1103),"")</f>
        <v/>
      </c>
    </row>
    <row r="1104" spans="1:8" x14ac:dyDescent="0.35">
      <c r="A1104" s="56" t="s">
        <v>2858</v>
      </c>
      <c r="B1104" s="56" t="s">
        <v>4418</v>
      </c>
      <c r="C1104" s="56" t="s">
        <v>4419</v>
      </c>
      <c r="D1104" s="39">
        <v>69.180000000000007</v>
      </c>
      <c r="E1104" s="56" t="s">
        <v>4420</v>
      </c>
      <c r="F1104" s="55" t="s">
        <v>4421</v>
      </c>
      <c r="G1104" s="5">
        <f>IF(Estimation!$B$18="",0,IF(ISNUMBER(SEARCH(LOWER(Estimation!$B$18),F1104)),1,0))</f>
        <v>0</v>
      </c>
      <c r="H1104" s="5" t="str">
        <f>IF(G1104=1,SUM($G$4:G1104),"")</f>
        <v/>
      </c>
    </row>
    <row r="1105" spans="1:8" x14ac:dyDescent="0.35">
      <c r="A1105" s="56" t="s">
        <v>2858</v>
      </c>
      <c r="B1105" s="56" t="s">
        <v>4422</v>
      </c>
      <c r="C1105" s="56" t="s">
        <v>4423</v>
      </c>
      <c r="D1105" s="39">
        <v>192.62</v>
      </c>
      <c r="E1105" s="56" t="s">
        <v>4424</v>
      </c>
      <c r="F1105" s="55" t="s">
        <v>4425</v>
      </c>
      <c r="G1105" s="5">
        <f>IF(Estimation!$B$18="",0,IF(ISNUMBER(SEARCH(LOWER(Estimation!$B$18),F1105)),1,0))</f>
        <v>0</v>
      </c>
      <c r="H1105" s="5" t="str">
        <f>IF(G1105=1,SUM($G$4:G1105),"")</f>
        <v/>
      </c>
    </row>
    <row r="1106" spans="1:8" x14ac:dyDescent="0.35">
      <c r="A1106" s="56" t="s">
        <v>2858</v>
      </c>
      <c r="B1106" s="56" t="s">
        <v>4426</v>
      </c>
      <c r="C1106" s="56" t="s">
        <v>4427</v>
      </c>
      <c r="D1106" s="39">
        <v>896.58</v>
      </c>
      <c r="E1106" s="56" t="s">
        <v>4428</v>
      </c>
      <c r="F1106" s="55" t="s">
        <v>4429</v>
      </c>
      <c r="G1106" s="5">
        <f>IF(Estimation!$B$18="",0,IF(ISNUMBER(SEARCH(LOWER(Estimation!$B$18),F1106)),1,0))</f>
        <v>0</v>
      </c>
      <c r="H1106" s="5" t="str">
        <f>IF(G1106=1,SUM($G$4:G1106),"")</f>
        <v/>
      </c>
    </row>
    <row r="1107" spans="1:8" x14ac:dyDescent="0.35">
      <c r="A1107" s="56" t="s">
        <v>2858</v>
      </c>
      <c r="B1107" s="56" t="s">
        <v>4430</v>
      </c>
      <c r="C1107" s="56" t="s">
        <v>4431</v>
      </c>
      <c r="D1107" s="39">
        <v>448.27</v>
      </c>
      <c r="E1107" s="56" t="s">
        <v>4432</v>
      </c>
      <c r="F1107" s="55" t="s">
        <v>4433</v>
      </c>
      <c r="G1107" s="5">
        <f>IF(Estimation!$B$18="",0,IF(ISNUMBER(SEARCH(LOWER(Estimation!$B$18),F1107)),1,0))</f>
        <v>0</v>
      </c>
      <c r="H1107" s="5" t="str">
        <f>IF(G1107=1,SUM($G$4:G1107),"")</f>
        <v/>
      </c>
    </row>
    <row r="1108" spans="1:8" x14ac:dyDescent="0.35">
      <c r="A1108" s="56" t="s">
        <v>2858</v>
      </c>
      <c r="B1108" s="56" t="s">
        <v>4434</v>
      </c>
      <c r="C1108" s="56" t="s">
        <v>4435</v>
      </c>
      <c r="D1108" s="39">
        <v>597.72</v>
      </c>
      <c r="E1108" s="56" t="s">
        <v>4436</v>
      </c>
      <c r="F1108" s="55" t="s">
        <v>4437</v>
      </c>
      <c r="G1108" s="5">
        <f>IF(Estimation!$B$18="",0,IF(ISNUMBER(SEARCH(LOWER(Estimation!$B$18),F1108)),1,0))</f>
        <v>0</v>
      </c>
      <c r="H1108" s="5" t="str">
        <f>IF(G1108=1,SUM($G$4:G1108),"")</f>
        <v/>
      </c>
    </row>
    <row r="1109" spans="1:8" x14ac:dyDescent="0.35">
      <c r="A1109" s="56" t="s">
        <v>2858</v>
      </c>
      <c r="B1109" s="56" t="s">
        <v>4438</v>
      </c>
      <c r="C1109" s="56" t="s">
        <v>4439</v>
      </c>
      <c r="D1109" s="39">
        <v>641.17999999999995</v>
      </c>
      <c r="E1109" s="56" t="s">
        <v>4440</v>
      </c>
      <c r="F1109" s="55" t="s">
        <v>4441</v>
      </c>
      <c r="G1109" s="5">
        <f>IF(Estimation!$B$18="",0,IF(ISNUMBER(SEARCH(LOWER(Estimation!$B$18),F1109)),1,0))</f>
        <v>0</v>
      </c>
      <c r="H1109" s="5" t="str">
        <f>IF(G1109=1,SUM($G$4:G1109),"")</f>
        <v/>
      </c>
    </row>
    <row r="1110" spans="1:8" x14ac:dyDescent="0.35">
      <c r="A1110" s="56" t="s">
        <v>2858</v>
      </c>
      <c r="B1110" s="56" t="s">
        <v>4442</v>
      </c>
      <c r="C1110" s="56" t="s">
        <v>4443</v>
      </c>
      <c r="D1110" s="39">
        <v>747.15</v>
      </c>
      <c r="E1110" s="56" t="s">
        <v>4444</v>
      </c>
      <c r="F1110" s="55" t="s">
        <v>4445</v>
      </c>
      <c r="G1110" s="5">
        <f>IF(Estimation!$B$18="",0,IF(ISNUMBER(SEARCH(LOWER(Estimation!$B$18),F1110)),1,0))</f>
        <v>0</v>
      </c>
      <c r="H1110" s="5" t="str">
        <f>IF(G1110=1,SUM($G$4:G1110),"")</f>
        <v/>
      </c>
    </row>
    <row r="1111" spans="1:8" x14ac:dyDescent="0.35">
      <c r="A1111" s="56" t="s">
        <v>2858</v>
      </c>
      <c r="B1111" s="56" t="s">
        <v>4446</v>
      </c>
      <c r="C1111" s="56" t="s">
        <v>4447</v>
      </c>
      <c r="D1111" s="39">
        <v>298.85000000000002</v>
      </c>
      <c r="E1111" s="56" t="s">
        <v>4448</v>
      </c>
      <c r="F1111" s="55" t="s">
        <v>4449</v>
      </c>
      <c r="G1111" s="5">
        <f>IF(Estimation!$B$18="",0,IF(ISNUMBER(SEARCH(LOWER(Estimation!$B$18),F1111)),1,0))</f>
        <v>0</v>
      </c>
      <c r="H1111" s="5" t="str">
        <f>IF(G1111=1,SUM($G$4:G1111),"")</f>
        <v/>
      </c>
    </row>
    <row r="1112" spans="1:8" x14ac:dyDescent="0.35">
      <c r="A1112" s="56" t="s">
        <v>2858</v>
      </c>
      <c r="B1112" s="56" t="s">
        <v>4450</v>
      </c>
      <c r="C1112" s="56" t="s">
        <v>4451</v>
      </c>
      <c r="D1112" s="39">
        <v>635.76</v>
      </c>
      <c r="E1112" s="56" t="s">
        <v>4452</v>
      </c>
      <c r="F1112" s="55" t="s">
        <v>4453</v>
      </c>
      <c r="G1112" s="5">
        <f>IF(Estimation!$B$18="",0,IF(ISNUMBER(SEARCH(LOWER(Estimation!$B$18),F1112)),1,0))</f>
        <v>0</v>
      </c>
      <c r="H1112" s="5" t="str">
        <f>IF(G1112=1,SUM($G$4:G1112),"")</f>
        <v/>
      </c>
    </row>
    <row r="1113" spans="1:8" x14ac:dyDescent="0.35">
      <c r="A1113" s="56" t="s">
        <v>2858</v>
      </c>
      <c r="B1113" s="56" t="s">
        <v>4454</v>
      </c>
      <c r="C1113" s="56" t="s">
        <v>4455</v>
      </c>
      <c r="D1113" s="39">
        <v>553.45000000000005</v>
      </c>
      <c r="E1113" s="56" t="s">
        <v>4456</v>
      </c>
      <c r="F1113" s="55" t="s">
        <v>4457</v>
      </c>
      <c r="G1113" s="5">
        <f>IF(Estimation!$B$18="",0,IF(ISNUMBER(SEARCH(LOWER(Estimation!$B$18),F1113)),1,0))</f>
        <v>0</v>
      </c>
      <c r="H1113" s="5" t="str">
        <f>IF(G1113=1,SUM($G$4:G1113),"")</f>
        <v/>
      </c>
    </row>
    <row r="1114" spans="1:8" x14ac:dyDescent="0.35">
      <c r="A1114" s="56" t="s">
        <v>2858</v>
      </c>
      <c r="B1114" s="56" t="s">
        <v>4458</v>
      </c>
      <c r="C1114" s="56" t="s">
        <v>4459</v>
      </c>
      <c r="D1114" s="39">
        <v>1151.8499999999999</v>
      </c>
      <c r="E1114" s="56" t="s">
        <v>4460</v>
      </c>
      <c r="F1114" s="55" t="s">
        <v>4461</v>
      </c>
      <c r="G1114" s="5">
        <f>IF(Estimation!$B$18="",0,IF(ISNUMBER(SEARCH(LOWER(Estimation!$B$18),F1114)),1,0))</f>
        <v>0</v>
      </c>
      <c r="H1114" s="5" t="str">
        <f>IF(G1114=1,SUM($G$4:G1114),"")</f>
        <v/>
      </c>
    </row>
    <row r="1115" spans="1:8" x14ac:dyDescent="0.35">
      <c r="A1115" s="56" t="s">
        <v>2858</v>
      </c>
      <c r="B1115" s="56" t="s">
        <v>4462</v>
      </c>
      <c r="C1115" s="56" t="s">
        <v>4463</v>
      </c>
      <c r="D1115" s="39">
        <v>537.63</v>
      </c>
      <c r="E1115" s="56" t="s">
        <v>4464</v>
      </c>
      <c r="F1115" s="55" t="s">
        <v>4465</v>
      </c>
      <c r="G1115" s="5">
        <f>IF(Estimation!$B$18="",0,IF(ISNUMBER(SEARCH(LOWER(Estimation!$B$18),F1115)),1,0))</f>
        <v>0</v>
      </c>
      <c r="H1115" s="5" t="str">
        <f>IF(G1115=1,SUM($G$4:G1115),"")</f>
        <v/>
      </c>
    </row>
    <row r="1116" spans="1:8" x14ac:dyDescent="0.35">
      <c r="A1116" s="56" t="s">
        <v>2858</v>
      </c>
      <c r="B1116" s="56" t="s">
        <v>4466</v>
      </c>
      <c r="C1116" s="56" t="s">
        <v>4467</v>
      </c>
      <c r="D1116" s="39">
        <v>417.78</v>
      </c>
      <c r="E1116" s="56" t="s">
        <v>4468</v>
      </c>
      <c r="F1116" s="55" t="s">
        <v>4469</v>
      </c>
      <c r="G1116" s="5">
        <f>IF(Estimation!$B$18="",0,IF(ISNUMBER(SEARCH(LOWER(Estimation!$B$18),F1116)),1,0))</f>
        <v>0</v>
      </c>
      <c r="H1116" s="5" t="str">
        <f>IF(G1116=1,SUM($G$4:G1116),"")</f>
        <v/>
      </c>
    </row>
    <row r="1117" spans="1:8" x14ac:dyDescent="0.35">
      <c r="A1117" s="56" t="s">
        <v>2858</v>
      </c>
      <c r="B1117" s="56" t="s">
        <v>4470</v>
      </c>
      <c r="C1117" s="56" t="s">
        <v>4471</v>
      </c>
      <c r="D1117" s="39">
        <v>13.84</v>
      </c>
      <c r="E1117" s="56" t="s">
        <v>4472</v>
      </c>
      <c r="F1117" s="55" t="s">
        <v>4473</v>
      </c>
      <c r="G1117" s="5">
        <f>IF(Estimation!$B$18="",0,IF(ISNUMBER(SEARCH(LOWER(Estimation!$B$18),F1117)),1,0))</f>
        <v>0</v>
      </c>
      <c r="H1117" s="5" t="str">
        <f>IF(G1117=1,SUM($G$4:G1117),"")</f>
        <v/>
      </c>
    </row>
    <row r="1118" spans="1:8" x14ac:dyDescent="0.35">
      <c r="A1118" s="56" t="s">
        <v>2858</v>
      </c>
      <c r="B1118" s="56" t="s">
        <v>4474</v>
      </c>
      <c r="C1118" s="56" t="s">
        <v>4475</v>
      </c>
      <c r="D1118" s="39">
        <v>418.4</v>
      </c>
      <c r="E1118" s="56" t="s">
        <v>4476</v>
      </c>
      <c r="F1118" s="55" t="s">
        <v>4477</v>
      </c>
      <c r="G1118" s="5">
        <f>IF(Estimation!$B$18="",0,IF(ISNUMBER(SEARCH(LOWER(Estimation!$B$18),F1118)),1,0))</f>
        <v>0</v>
      </c>
      <c r="H1118" s="5" t="str">
        <f>IF(G1118=1,SUM($G$4:G1118),"")</f>
        <v/>
      </c>
    </row>
    <row r="1119" spans="1:8" x14ac:dyDescent="0.35">
      <c r="A1119" s="56" t="s">
        <v>2858</v>
      </c>
      <c r="B1119" s="56" t="s">
        <v>4478</v>
      </c>
      <c r="C1119" s="56" t="s">
        <v>4479</v>
      </c>
      <c r="D1119" s="39">
        <v>328.74</v>
      </c>
      <c r="E1119" s="56" t="s">
        <v>4480</v>
      </c>
      <c r="F1119" s="55" t="s">
        <v>4481</v>
      </c>
      <c r="G1119" s="5">
        <f>IF(Estimation!$B$18="",0,IF(ISNUMBER(SEARCH(LOWER(Estimation!$B$18),F1119)),1,0))</f>
        <v>0</v>
      </c>
      <c r="H1119" s="5" t="str">
        <f>IF(G1119=1,SUM($G$4:G1119),"")</f>
        <v/>
      </c>
    </row>
    <row r="1120" spans="1:8" x14ac:dyDescent="0.35">
      <c r="A1120" s="56" t="s">
        <v>2858</v>
      </c>
      <c r="B1120" s="56" t="s">
        <v>4482</v>
      </c>
      <c r="C1120" s="56" t="s">
        <v>4483</v>
      </c>
      <c r="D1120" s="39">
        <v>3993.82</v>
      </c>
      <c r="E1120" s="56" t="s">
        <v>4484</v>
      </c>
      <c r="F1120" s="55" t="s">
        <v>4485</v>
      </c>
      <c r="G1120" s="5">
        <f>IF(Estimation!$B$18="",0,IF(ISNUMBER(SEARCH(LOWER(Estimation!$B$18),F1120)),1,0))</f>
        <v>0</v>
      </c>
      <c r="H1120" s="5" t="str">
        <f>IF(G1120=1,SUM($G$4:G1120),"")</f>
        <v/>
      </c>
    </row>
    <row r="1121" spans="1:8" x14ac:dyDescent="0.35">
      <c r="A1121" s="56" t="s">
        <v>2858</v>
      </c>
      <c r="B1121" s="56" t="s">
        <v>4486</v>
      </c>
      <c r="C1121" s="56" t="s">
        <v>4487</v>
      </c>
      <c r="D1121" s="39">
        <v>2276.75</v>
      </c>
      <c r="E1121" s="56" t="s">
        <v>4488</v>
      </c>
      <c r="F1121" s="55" t="s">
        <v>4489</v>
      </c>
      <c r="G1121" s="5">
        <f>IF(Estimation!$B$18="",0,IF(ISNUMBER(SEARCH(LOWER(Estimation!$B$18),F1121)),1,0))</f>
        <v>0</v>
      </c>
      <c r="H1121" s="5" t="str">
        <f>IF(G1121=1,SUM($G$4:G1121),"")</f>
        <v/>
      </c>
    </row>
    <row r="1122" spans="1:8" x14ac:dyDescent="0.35">
      <c r="A1122" s="56" t="s">
        <v>2858</v>
      </c>
      <c r="B1122" s="56" t="s">
        <v>4490</v>
      </c>
      <c r="C1122" s="56" t="s">
        <v>4491</v>
      </c>
      <c r="D1122" s="39">
        <v>2276.75</v>
      </c>
      <c r="E1122" s="56" t="s">
        <v>4492</v>
      </c>
      <c r="F1122" s="55" t="s">
        <v>4493</v>
      </c>
      <c r="G1122" s="5">
        <f>IF(Estimation!$B$18="",0,IF(ISNUMBER(SEARCH(LOWER(Estimation!$B$18),F1122)),1,0))</f>
        <v>0</v>
      </c>
      <c r="H1122" s="5" t="str">
        <f>IF(G1122=1,SUM($G$4:G1122),"")</f>
        <v/>
      </c>
    </row>
    <row r="1123" spans="1:8" x14ac:dyDescent="0.35">
      <c r="A1123" s="56" t="s">
        <v>2858</v>
      </c>
      <c r="B1123" s="56" t="s">
        <v>4494</v>
      </c>
      <c r="C1123" s="56" t="s">
        <v>4495</v>
      </c>
      <c r="D1123" s="39">
        <v>2448.6</v>
      </c>
      <c r="E1123" s="56" t="s">
        <v>4496</v>
      </c>
      <c r="F1123" s="55" t="s">
        <v>4497</v>
      </c>
      <c r="G1123" s="5">
        <f>IF(Estimation!$B$18="",0,IF(ISNUMBER(SEARCH(LOWER(Estimation!$B$18),F1123)),1,0))</f>
        <v>0</v>
      </c>
      <c r="H1123" s="5" t="str">
        <f>IF(G1123=1,SUM($G$4:G1123),"")</f>
        <v/>
      </c>
    </row>
    <row r="1124" spans="1:8" x14ac:dyDescent="0.35">
      <c r="A1124" s="56" t="s">
        <v>2858</v>
      </c>
      <c r="B1124" s="56" t="s">
        <v>4498</v>
      </c>
      <c r="C1124" s="56" t="s">
        <v>4499</v>
      </c>
      <c r="D1124" s="39">
        <v>2404.08</v>
      </c>
      <c r="E1124" s="56" t="s">
        <v>4500</v>
      </c>
      <c r="F1124" s="55" t="s">
        <v>4501</v>
      </c>
      <c r="G1124" s="5">
        <f>IF(Estimation!$B$18="",0,IF(ISNUMBER(SEARCH(LOWER(Estimation!$B$18),F1124)),1,0))</f>
        <v>0</v>
      </c>
      <c r="H1124" s="5" t="str">
        <f>IF(G1124=1,SUM($G$4:G1124),"")</f>
        <v/>
      </c>
    </row>
    <row r="1125" spans="1:8" x14ac:dyDescent="0.35">
      <c r="A1125" s="56" t="s">
        <v>2858</v>
      </c>
      <c r="B1125" s="56" t="s">
        <v>4502</v>
      </c>
      <c r="C1125" s="56" t="s">
        <v>4503</v>
      </c>
      <c r="D1125" s="39">
        <v>2181.48</v>
      </c>
      <c r="E1125" s="56" t="s">
        <v>4504</v>
      </c>
      <c r="F1125" s="55" t="s">
        <v>4505</v>
      </c>
      <c r="G1125" s="5">
        <f>IF(Estimation!$B$18="",0,IF(ISNUMBER(SEARCH(LOWER(Estimation!$B$18),F1125)),1,0))</f>
        <v>0</v>
      </c>
      <c r="H1125" s="5" t="str">
        <f>IF(G1125=1,SUM($G$4:G1125),"")</f>
        <v/>
      </c>
    </row>
    <row r="1126" spans="1:8" x14ac:dyDescent="0.35">
      <c r="A1126" s="56" t="s">
        <v>2858</v>
      </c>
      <c r="B1126" s="56" t="s">
        <v>4506</v>
      </c>
      <c r="C1126" s="56" t="s">
        <v>4507</v>
      </c>
      <c r="D1126" s="39">
        <v>2181.48</v>
      </c>
      <c r="E1126" s="56" t="s">
        <v>4508</v>
      </c>
      <c r="F1126" s="55" t="s">
        <v>4509</v>
      </c>
      <c r="G1126" s="5">
        <f>IF(Estimation!$B$18="",0,IF(ISNUMBER(SEARCH(LOWER(Estimation!$B$18),F1126)),1,0))</f>
        <v>0</v>
      </c>
      <c r="H1126" s="5" t="str">
        <f>IF(G1126=1,SUM($G$4:G1126),"")</f>
        <v/>
      </c>
    </row>
    <row r="1127" spans="1:8" x14ac:dyDescent="0.35">
      <c r="A1127" s="56" t="s">
        <v>2858</v>
      </c>
      <c r="B1127" s="56" t="s">
        <v>4510</v>
      </c>
      <c r="C1127" s="56" t="s">
        <v>4511</v>
      </c>
      <c r="D1127" s="39">
        <v>2181.48</v>
      </c>
      <c r="E1127" s="56" t="s">
        <v>4512</v>
      </c>
      <c r="F1127" s="55" t="s">
        <v>4513</v>
      </c>
      <c r="G1127" s="5">
        <f>IF(Estimation!$B$18="",0,IF(ISNUMBER(SEARCH(LOWER(Estimation!$B$18),F1127)),1,0))</f>
        <v>0</v>
      </c>
      <c r="H1127" s="5" t="str">
        <f>IF(G1127=1,SUM($G$4:G1127),"")</f>
        <v/>
      </c>
    </row>
    <row r="1128" spans="1:8" x14ac:dyDescent="0.35">
      <c r="A1128" s="56" t="s">
        <v>2858</v>
      </c>
      <c r="B1128" s="56" t="s">
        <v>4514</v>
      </c>
      <c r="C1128" s="56" t="s">
        <v>4515</v>
      </c>
      <c r="D1128" s="39">
        <v>2181.48</v>
      </c>
      <c r="E1128" s="56" t="s">
        <v>4516</v>
      </c>
      <c r="F1128" s="55" t="s">
        <v>4517</v>
      </c>
      <c r="G1128" s="5">
        <f>IF(Estimation!$B$18="",0,IF(ISNUMBER(SEARCH(LOWER(Estimation!$B$18),F1128)),1,0))</f>
        <v>0</v>
      </c>
      <c r="H1128" s="5" t="str">
        <f>IF(G1128=1,SUM($G$4:G1128),"")</f>
        <v/>
      </c>
    </row>
    <row r="1129" spans="1:8" x14ac:dyDescent="0.35">
      <c r="A1129" s="56" t="s">
        <v>2858</v>
      </c>
      <c r="B1129" s="56" t="s">
        <v>4518</v>
      </c>
      <c r="C1129" s="56" t="s">
        <v>4519</v>
      </c>
      <c r="D1129" s="39">
        <v>2181.48</v>
      </c>
      <c r="E1129" s="56" t="s">
        <v>4520</v>
      </c>
      <c r="F1129" s="55" t="s">
        <v>4521</v>
      </c>
      <c r="G1129" s="5">
        <f>IF(Estimation!$B$18="",0,IF(ISNUMBER(SEARCH(LOWER(Estimation!$B$18),F1129)),1,0))</f>
        <v>0</v>
      </c>
      <c r="H1129" s="5" t="str">
        <f>IF(G1129=1,SUM($G$4:G1129),"")</f>
        <v/>
      </c>
    </row>
    <row r="1130" spans="1:8" x14ac:dyDescent="0.35">
      <c r="A1130" s="56" t="s">
        <v>2858</v>
      </c>
      <c r="B1130" s="56" t="s">
        <v>4522</v>
      </c>
      <c r="C1130" s="56" t="s">
        <v>4523</v>
      </c>
      <c r="D1130" s="39">
        <v>2181.48</v>
      </c>
      <c r="E1130" s="56" t="s">
        <v>4524</v>
      </c>
      <c r="F1130" s="55" t="s">
        <v>4525</v>
      </c>
      <c r="G1130" s="5">
        <f>IF(Estimation!$B$18="",0,IF(ISNUMBER(SEARCH(LOWER(Estimation!$B$18),F1130)),1,0))</f>
        <v>0</v>
      </c>
      <c r="H1130" s="5" t="str">
        <f>IF(G1130=1,SUM($G$4:G1130),"")</f>
        <v/>
      </c>
    </row>
    <row r="1131" spans="1:8" x14ac:dyDescent="0.35">
      <c r="A1131" s="56" t="s">
        <v>2858</v>
      </c>
      <c r="B1131" s="56" t="s">
        <v>4526</v>
      </c>
      <c r="C1131" s="56" t="s">
        <v>4527</v>
      </c>
      <c r="D1131" s="39">
        <v>278.25</v>
      </c>
      <c r="E1131" s="56" t="s">
        <v>4528</v>
      </c>
      <c r="F1131" s="55" t="s">
        <v>4529</v>
      </c>
      <c r="G1131" s="5">
        <f>IF(Estimation!$B$18="",0,IF(ISNUMBER(SEARCH(LOWER(Estimation!$B$18),F1131)),1,0))</f>
        <v>0</v>
      </c>
      <c r="H1131" s="5" t="str">
        <f>IF(G1131=1,SUM($G$4:G1131),"")</f>
        <v/>
      </c>
    </row>
    <row r="1132" spans="1:8" x14ac:dyDescent="0.35">
      <c r="A1132" s="56" t="s">
        <v>2858</v>
      </c>
      <c r="B1132" s="56" t="s">
        <v>4530</v>
      </c>
      <c r="C1132" s="56" t="s">
        <v>4531</v>
      </c>
      <c r="D1132" s="39">
        <v>210.4</v>
      </c>
      <c r="E1132" s="56" t="s">
        <v>4532</v>
      </c>
      <c r="F1132" s="55" t="s">
        <v>4533</v>
      </c>
      <c r="G1132" s="5">
        <f>IF(Estimation!$B$18="",0,IF(ISNUMBER(SEARCH(LOWER(Estimation!$B$18),F1132)),1,0))</f>
        <v>0</v>
      </c>
      <c r="H1132" s="5" t="str">
        <f>IF(G1132=1,SUM($G$4:G1132),"")</f>
        <v/>
      </c>
    </row>
    <row r="1133" spans="1:8" x14ac:dyDescent="0.35">
      <c r="A1133" s="56" t="s">
        <v>2858</v>
      </c>
      <c r="B1133" s="56" t="s">
        <v>4534</v>
      </c>
      <c r="C1133" s="56" t="s">
        <v>4535</v>
      </c>
      <c r="D1133" s="39">
        <v>526</v>
      </c>
      <c r="E1133" s="56" t="s">
        <v>4536</v>
      </c>
      <c r="F1133" s="55" t="s">
        <v>4537</v>
      </c>
      <c r="G1133" s="5">
        <f>IF(Estimation!$B$18="",0,IF(ISNUMBER(SEARCH(LOWER(Estimation!$B$18),F1133)),1,0))</f>
        <v>0</v>
      </c>
      <c r="H1133" s="5" t="str">
        <f>IF(G1133=1,SUM($G$4:G1133),"")</f>
        <v/>
      </c>
    </row>
    <row r="1134" spans="1:8" x14ac:dyDescent="0.35">
      <c r="A1134" s="56" t="s">
        <v>2858</v>
      </c>
      <c r="B1134" s="56" t="s">
        <v>4538</v>
      </c>
      <c r="C1134" s="56" t="s">
        <v>4539</v>
      </c>
      <c r="D1134" s="39">
        <v>304.77999999999997</v>
      </c>
      <c r="E1134" s="56" t="s">
        <v>4540</v>
      </c>
      <c r="F1134" s="55" t="s">
        <v>4541</v>
      </c>
      <c r="G1134" s="5">
        <f>IF(Estimation!$B$18="",0,IF(ISNUMBER(SEARCH(LOWER(Estimation!$B$18),F1134)),1,0))</f>
        <v>0</v>
      </c>
      <c r="H1134" s="5" t="str">
        <f>IF(G1134=1,SUM($G$4:G1134),"")</f>
        <v/>
      </c>
    </row>
    <row r="1135" spans="1:8" x14ac:dyDescent="0.35">
      <c r="A1135" s="56" t="s">
        <v>2858</v>
      </c>
      <c r="B1135" s="56" t="s">
        <v>4542</v>
      </c>
      <c r="C1135" s="56" t="s">
        <v>4543</v>
      </c>
      <c r="D1135" s="39">
        <v>761.95</v>
      </c>
      <c r="E1135" s="56" t="s">
        <v>4544</v>
      </c>
      <c r="F1135" s="55" t="s">
        <v>4545</v>
      </c>
      <c r="G1135" s="5">
        <f>IF(Estimation!$B$18="",0,IF(ISNUMBER(SEARCH(LOWER(Estimation!$B$18),F1135)),1,0))</f>
        <v>0</v>
      </c>
      <c r="H1135" s="5" t="str">
        <f>IF(G1135=1,SUM($G$4:G1135),"")</f>
        <v/>
      </c>
    </row>
    <row r="1136" spans="1:8" x14ac:dyDescent="0.35">
      <c r="A1136" s="56" t="s">
        <v>2858</v>
      </c>
      <c r="B1136" s="56" t="s">
        <v>4546</v>
      </c>
      <c r="C1136" s="56" t="s">
        <v>4547</v>
      </c>
      <c r="D1136" s="39">
        <v>842.1</v>
      </c>
      <c r="E1136" s="56" t="s">
        <v>4548</v>
      </c>
      <c r="F1136" s="55" t="s">
        <v>4549</v>
      </c>
      <c r="G1136" s="5">
        <f>IF(Estimation!$B$18="",0,IF(ISNUMBER(SEARCH(LOWER(Estimation!$B$18),F1136)),1,0))</f>
        <v>0</v>
      </c>
      <c r="H1136" s="5" t="str">
        <f>IF(G1136=1,SUM($G$4:G1136),"")</f>
        <v/>
      </c>
    </row>
    <row r="1137" spans="1:8" x14ac:dyDescent="0.35">
      <c r="A1137" s="56" t="s">
        <v>2858</v>
      </c>
      <c r="B1137" s="56" t="s">
        <v>4550</v>
      </c>
      <c r="C1137" s="56" t="s">
        <v>4551</v>
      </c>
      <c r="D1137" s="39">
        <v>908.6</v>
      </c>
      <c r="E1137" s="56" t="s">
        <v>4552</v>
      </c>
      <c r="F1137" s="55" t="s">
        <v>4553</v>
      </c>
      <c r="G1137" s="5">
        <f>IF(Estimation!$B$18="",0,IF(ISNUMBER(SEARCH(LOWER(Estimation!$B$18),F1137)),1,0))</f>
        <v>0</v>
      </c>
      <c r="H1137" s="5" t="str">
        <f>IF(G1137=1,SUM($G$4:G1137),"")</f>
        <v/>
      </c>
    </row>
    <row r="1138" spans="1:8" x14ac:dyDescent="0.35">
      <c r="A1138" s="56" t="s">
        <v>2858</v>
      </c>
      <c r="B1138" s="56" t="s">
        <v>4554</v>
      </c>
      <c r="C1138" s="56" t="s">
        <v>4555</v>
      </c>
      <c r="D1138" s="39">
        <v>842.1</v>
      </c>
      <c r="E1138" s="56" t="s">
        <v>4556</v>
      </c>
      <c r="F1138" s="55" t="s">
        <v>4557</v>
      </c>
      <c r="G1138" s="5">
        <f>IF(Estimation!$B$18="",0,IF(ISNUMBER(SEARCH(LOWER(Estimation!$B$18),F1138)),1,0))</f>
        <v>0</v>
      </c>
      <c r="H1138" s="5" t="str">
        <f>IF(G1138=1,SUM($G$4:G1138),"")</f>
        <v/>
      </c>
    </row>
    <row r="1139" spans="1:8" x14ac:dyDescent="0.35">
      <c r="A1139" s="56" t="s">
        <v>2858</v>
      </c>
      <c r="B1139" s="56" t="s">
        <v>4558</v>
      </c>
      <c r="C1139" s="56" t="s">
        <v>4559</v>
      </c>
      <c r="D1139" s="39">
        <v>172</v>
      </c>
      <c r="E1139" s="56" t="s">
        <v>4560</v>
      </c>
      <c r="F1139" s="55" t="s">
        <v>4561</v>
      </c>
      <c r="G1139" s="5">
        <f>IF(Estimation!$B$18="",0,IF(ISNUMBER(SEARCH(LOWER(Estimation!$B$18),F1139)),1,0))</f>
        <v>0</v>
      </c>
      <c r="H1139" s="5" t="str">
        <f>IF(G1139=1,SUM($G$4:G1139),"")</f>
        <v/>
      </c>
    </row>
    <row r="1140" spans="1:8" x14ac:dyDescent="0.35">
      <c r="A1140" s="56" t="s">
        <v>2858</v>
      </c>
      <c r="B1140" s="56" t="s">
        <v>4562</v>
      </c>
      <c r="C1140" s="56" t="s">
        <v>4563</v>
      </c>
      <c r="D1140" s="39">
        <v>430</v>
      </c>
      <c r="E1140" s="56" t="s">
        <v>4564</v>
      </c>
      <c r="F1140" s="55" t="s">
        <v>4565</v>
      </c>
      <c r="G1140" s="5">
        <f>IF(Estimation!$B$18="",0,IF(ISNUMBER(SEARCH(LOWER(Estimation!$B$18),F1140)),1,0))</f>
        <v>0</v>
      </c>
      <c r="H1140" s="5" t="str">
        <f>IF(G1140=1,SUM($G$4:G1140),"")</f>
        <v/>
      </c>
    </row>
    <row r="1141" spans="1:8" x14ac:dyDescent="0.35">
      <c r="A1141" s="56" t="s">
        <v>2858</v>
      </c>
      <c r="B1141" s="56" t="s">
        <v>4566</v>
      </c>
      <c r="C1141" s="56" t="s">
        <v>4567</v>
      </c>
      <c r="D1141" s="39">
        <v>170.2</v>
      </c>
      <c r="E1141" s="56" t="s">
        <v>4568</v>
      </c>
      <c r="F1141" s="55" t="s">
        <v>4569</v>
      </c>
      <c r="G1141" s="5">
        <f>IF(Estimation!$B$18="",0,IF(ISNUMBER(SEARCH(LOWER(Estimation!$B$18),F1141)),1,0))</f>
        <v>0</v>
      </c>
      <c r="H1141" s="5" t="str">
        <f>IF(G1141=1,SUM($G$4:G1141),"")</f>
        <v/>
      </c>
    </row>
    <row r="1142" spans="1:8" x14ac:dyDescent="0.35">
      <c r="A1142" s="56" t="s">
        <v>2858</v>
      </c>
      <c r="B1142" s="56" t="s">
        <v>4570</v>
      </c>
      <c r="C1142" s="56" t="s">
        <v>4571</v>
      </c>
      <c r="D1142" s="39">
        <v>425.5</v>
      </c>
      <c r="E1142" s="56" t="s">
        <v>4572</v>
      </c>
      <c r="F1142" s="55" t="s">
        <v>4573</v>
      </c>
      <c r="G1142" s="5">
        <f>IF(Estimation!$B$18="",0,IF(ISNUMBER(SEARCH(LOWER(Estimation!$B$18),F1142)),1,0))</f>
        <v>0</v>
      </c>
      <c r="H1142" s="5" t="str">
        <f>IF(G1142=1,SUM($G$4:G1142),"")</f>
        <v/>
      </c>
    </row>
    <row r="1143" spans="1:8" x14ac:dyDescent="0.35">
      <c r="A1143" s="56" t="s">
        <v>2858</v>
      </c>
      <c r="B1143" s="56" t="s">
        <v>4574</v>
      </c>
      <c r="C1143" s="56" t="s">
        <v>4575</v>
      </c>
      <c r="D1143" s="39">
        <v>187.4</v>
      </c>
      <c r="E1143" s="56" t="s">
        <v>4576</v>
      </c>
      <c r="F1143" s="55" t="s">
        <v>4577</v>
      </c>
      <c r="G1143" s="5">
        <f>IF(Estimation!$B$18="",0,IF(ISNUMBER(SEARCH(LOWER(Estimation!$B$18),F1143)),1,0))</f>
        <v>0</v>
      </c>
      <c r="H1143" s="5" t="str">
        <f>IF(G1143=1,SUM($G$4:G1143),"")</f>
        <v/>
      </c>
    </row>
    <row r="1144" spans="1:8" x14ac:dyDescent="0.35">
      <c r="A1144" s="56" t="s">
        <v>2858</v>
      </c>
      <c r="B1144" s="56" t="s">
        <v>4578</v>
      </c>
      <c r="C1144" s="56" t="s">
        <v>4579</v>
      </c>
      <c r="D1144" s="39">
        <v>468.5</v>
      </c>
      <c r="E1144" s="56" t="s">
        <v>4580</v>
      </c>
      <c r="F1144" s="55" t="s">
        <v>4581</v>
      </c>
      <c r="G1144" s="5">
        <f>IF(Estimation!$B$18="",0,IF(ISNUMBER(SEARCH(LOWER(Estimation!$B$18),F1144)),1,0))</f>
        <v>0</v>
      </c>
      <c r="H1144" s="5" t="str">
        <f>IF(G1144=1,SUM($G$4:G1144),"")</f>
        <v/>
      </c>
    </row>
    <row r="1145" spans="1:8" x14ac:dyDescent="0.35">
      <c r="A1145" s="56" t="s">
        <v>2858</v>
      </c>
      <c r="B1145" s="56" t="s">
        <v>4582</v>
      </c>
      <c r="C1145" s="56" t="s">
        <v>4583</v>
      </c>
      <c r="D1145" s="39">
        <v>204.6</v>
      </c>
      <c r="E1145" s="56" t="s">
        <v>4584</v>
      </c>
      <c r="F1145" s="55" t="s">
        <v>4585</v>
      </c>
      <c r="G1145" s="5">
        <f>IF(Estimation!$B$18="",0,IF(ISNUMBER(SEARCH(LOWER(Estimation!$B$18),F1145)),1,0))</f>
        <v>0</v>
      </c>
      <c r="H1145" s="5" t="str">
        <f>IF(G1145=1,SUM($G$4:G1145),"")</f>
        <v/>
      </c>
    </row>
    <row r="1146" spans="1:8" x14ac:dyDescent="0.35">
      <c r="A1146" s="56" t="s">
        <v>2858</v>
      </c>
      <c r="B1146" s="56" t="s">
        <v>4586</v>
      </c>
      <c r="C1146" s="56" t="s">
        <v>4587</v>
      </c>
      <c r="D1146" s="39">
        <v>511.5</v>
      </c>
      <c r="E1146" s="56" t="s">
        <v>4588</v>
      </c>
      <c r="F1146" s="55" t="s">
        <v>4589</v>
      </c>
      <c r="G1146" s="5">
        <f>IF(Estimation!$B$18="",0,IF(ISNUMBER(SEARCH(LOWER(Estimation!$B$18),F1146)),1,0))</f>
        <v>0</v>
      </c>
      <c r="H1146" s="5" t="str">
        <f>IF(G1146=1,SUM($G$4:G1146),"")</f>
        <v/>
      </c>
    </row>
    <row r="1147" spans="1:8" x14ac:dyDescent="0.35">
      <c r="A1147" s="56" t="s">
        <v>2858</v>
      </c>
      <c r="B1147" s="56" t="s">
        <v>4590</v>
      </c>
      <c r="C1147" s="56" t="s">
        <v>4591</v>
      </c>
      <c r="D1147" s="39">
        <v>6.28</v>
      </c>
      <c r="E1147" s="56" t="s">
        <v>4592</v>
      </c>
      <c r="F1147" s="55" t="s">
        <v>4593</v>
      </c>
      <c r="G1147" s="5">
        <f>IF(Estimation!$B$18="",0,IF(ISNUMBER(SEARCH(LOWER(Estimation!$B$18),F1147)),1,0))</f>
        <v>0</v>
      </c>
      <c r="H1147" s="5" t="str">
        <f>IF(G1147=1,SUM($G$4:G1147),"")</f>
        <v/>
      </c>
    </row>
    <row r="1148" spans="1:8" x14ac:dyDescent="0.35">
      <c r="A1148" s="56" t="s">
        <v>2858</v>
      </c>
      <c r="B1148" s="56" t="s">
        <v>4594</v>
      </c>
      <c r="C1148" s="56" t="s">
        <v>4595</v>
      </c>
      <c r="D1148" s="39">
        <v>3.63</v>
      </c>
      <c r="E1148" s="56" t="s">
        <v>4596</v>
      </c>
      <c r="F1148" s="55" t="s">
        <v>4597</v>
      </c>
      <c r="G1148" s="5">
        <f>IF(Estimation!$B$18="",0,IF(ISNUMBER(SEARCH(LOWER(Estimation!$B$18),F1148)),1,0))</f>
        <v>0</v>
      </c>
      <c r="H1148" s="5" t="str">
        <f>IF(G1148=1,SUM($G$4:G1148),"")</f>
        <v/>
      </c>
    </row>
    <row r="1149" spans="1:8" x14ac:dyDescent="0.35">
      <c r="A1149" s="56" t="s">
        <v>2858</v>
      </c>
      <c r="B1149" s="56" t="s">
        <v>4598</v>
      </c>
      <c r="C1149" s="56" t="s">
        <v>4599</v>
      </c>
      <c r="D1149" s="39">
        <v>3.49</v>
      </c>
      <c r="E1149" s="56" t="s">
        <v>4600</v>
      </c>
      <c r="F1149" s="55" t="s">
        <v>4601</v>
      </c>
      <c r="G1149" s="5">
        <f>IF(Estimation!$B$18="",0,IF(ISNUMBER(SEARCH(LOWER(Estimation!$B$18),F1149)),1,0))</f>
        <v>0</v>
      </c>
      <c r="H1149" s="5" t="str">
        <f>IF(G1149=1,SUM($G$4:G1149),"")</f>
        <v/>
      </c>
    </row>
    <row r="1150" spans="1:8" x14ac:dyDescent="0.35">
      <c r="A1150" s="56" t="s">
        <v>2858</v>
      </c>
      <c r="B1150" s="56" t="s">
        <v>4602</v>
      </c>
      <c r="C1150" s="56" t="s">
        <v>4603</v>
      </c>
      <c r="D1150" s="39">
        <v>13.98</v>
      </c>
      <c r="E1150" s="56" t="s">
        <v>4604</v>
      </c>
      <c r="F1150" s="55" t="s">
        <v>4605</v>
      </c>
      <c r="G1150" s="5">
        <f>IF(Estimation!$B$18="",0,IF(ISNUMBER(SEARCH(LOWER(Estimation!$B$18),F1150)),1,0))</f>
        <v>0</v>
      </c>
      <c r="H1150" s="5" t="str">
        <f>IF(G1150=1,SUM($G$4:G1150),"")</f>
        <v/>
      </c>
    </row>
    <row r="1151" spans="1:8" x14ac:dyDescent="0.35">
      <c r="A1151" s="56" t="s">
        <v>2858</v>
      </c>
      <c r="B1151" s="56" t="s">
        <v>4606</v>
      </c>
      <c r="C1151" s="56" t="s">
        <v>4607</v>
      </c>
      <c r="D1151" s="39">
        <v>10.83</v>
      </c>
      <c r="E1151" s="56" t="s">
        <v>4608</v>
      </c>
      <c r="F1151" s="55" t="s">
        <v>4609</v>
      </c>
      <c r="G1151" s="5">
        <f>IF(Estimation!$B$18="",0,IF(ISNUMBER(SEARCH(LOWER(Estimation!$B$18),F1151)),1,0))</f>
        <v>0</v>
      </c>
      <c r="H1151" s="5" t="str">
        <f>IF(G1151=1,SUM($G$4:G1151),"")</f>
        <v/>
      </c>
    </row>
    <row r="1152" spans="1:8" x14ac:dyDescent="0.35">
      <c r="A1152" s="56" t="s">
        <v>2858</v>
      </c>
      <c r="B1152" s="56" t="s">
        <v>4610</v>
      </c>
      <c r="C1152" s="56" t="s">
        <v>4611</v>
      </c>
      <c r="D1152" s="39">
        <v>3.49</v>
      </c>
      <c r="E1152" s="56" t="s">
        <v>4612</v>
      </c>
      <c r="F1152" s="55" t="s">
        <v>4613</v>
      </c>
      <c r="G1152" s="5">
        <f>IF(Estimation!$B$18="",0,IF(ISNUMBER(SEARCH(LOWER(Estimation!$B$18),F1152)),1,0))</f>
        <v>0</v>
      </c>
      <c r="H1152" s="5" t="str">
        <f>IF(G1152=1,SUM($G$4:G1152),"")</f>
        <v/>
      </c>
    </row>
    <row r="1153" spans="1:8" x14ac:dyDescent="0.35">
      <c r="A1153" s="56" t="s">
        <v>2858</v>
      </c>
      <c r="B1153" s="56" t="s">
        <v>4614</v>
      </c>
      <c r="C1153" s="56" t="s">
        <v>4615</v>
      </c>
      <c r="D1153" s="39">
        <v>3.49</v>
      </c>
      <c r="E1153" s="56" t="s">
        <v>4616</v>
      </c>
      <c r="F1153" s="55" t="s">
        <v>4617</v>
      </c>
      <c r="G1153" s="5">
        <f>IF(Estimation!$B$18="",0,IF(ISNUMBER(SEARCH(LOWER(Estimation!$B$18),F1153)),1,0))</f>
        <v>0</v>
      </c>
      <c r="H1153" s="5" t="str">
        <f>IF(G1153=1,SUM($G$4:G1153),"")</f>
        <v/>
      </c>
    </row>
    <row r="1154" spans="1:8" x14ac:dyDescent="0.35">
      <c r="A1154" s="56" t="s">
        <v>2858</v>
      </c>
      <c r="B1154" s="56" t="s">
        <v>4618</v>
      </c>
      <c r="C1154" s="56" t="s">
        <v>4619</v>
      </c>
      <c r="D1154" s="39">
        <v>12.25</v>
      </c>
      <c r="E1154" s="56" t="s">
        <v>4620</v>
      </c>
      <c r="F1154" s="55" t="s">
        <v>4621</v>
      </c>
      <c r="G1154" s="5">
        <f>IF(Estimation!$B$18="",0,IF(ISNUMBER(SEARCH(LOWER(Estimation!$B$18),F1154)),1,0))</f>
        <v>0</v>
      </c>
      <c r="H1154" s="5" t="str">
        <f>IF(G1154=1,SUM($G$4:G1154),"")</f>
        <v/>
      </c>
    </row>
    <row r="1155" spans="1:8" x14ac:dyDescent="0.35">
      <c r="A1155" s="56" t="s">
        <v>2858</v>
      </c>
      <c r="B1155" s="56" t="s">
        <v>4622</v>
      </c>
      <c r="C1155" s="56" t="s">
        <v>4623</v>
      </c>
      <c r="D1155" s="39">
        <v>8.3000000000000007</v>
      </c>
      <c r="E1155" s="56" t="s">
        <v>4624</v>
      </c>
      <c r="F1155" s="55" t="s">
        <v>4625</v>
      </c>
      <c r="G1155" s="5">
        <f>IF(Estimation!$B$18="",0,IF(ISNUMBER(SEARCH(LOWER(Estimation!$B$18),F1155)),1,0))</f>
        <v>0</v>
      </c>
      <c r="H1155" s="5" t="str">
        <f>IF(G1155=1,SUM($G$4:G1155),"")</f>
        <v/>
      </c>
    </row>
    <row r="1156" spans="1:8" x14ac:dyDescent="0.35">
      <c r="A1156" s="56" t="s">
        <v>2858</v>
      </c>
      <c r="B1156" s="56" t="s">
        <v>4626</v>
      </c>
      <c r="C1156" s="56" t="s">
        <v>4627</v>
      </c>
      <c r="D1156" s="39">
        <v>59.9</v>
      </c>
      <c r="E1156" s="56" t="s">
        <v>4628</v>
      </c>
      <c r="F1156" s="55" t="s">
        <v>4629</v>
      </c>
      <c r="G1156" s="5">
        <f>IF(Estimation!$B$18="",0,IF(ISNUMBER(SEARCH(LOWER(Estimation!$B$18),F1156)),1,0))</f>
        <v>0</v>
      </c>
      <c r="H1156" s="5" t="str">
        <f>IF(G1156=1,SUM($G$4:G1156),"")</f>
        <v/>
      </c>
    </row>
    <row r="1157" spans="1:8" x14ac:dyDescent="0.35">
      <c r="A1157" s="56" t="s">
        <v>2858</v>
      </c>
      <c r="B1157" s="56" t="s">
        <v>4630</v>
      </c>
      <c r="C1157" s="56" t="s">
        <v>4631</v>
      </c>
      <c r="D1157" s="39">
        <v>2.2400000000000002</v>
      </c>
      <c r="E1157" s="56" t="s">
        <v>4632</v>
      </c>
      <c r="F1157" s="55" t="s">
        <v>4633</v>
      </c>
      <c r="G1157" s="5">
        <f>IF(Estimation!$B$18="",0,IF(ISNUMBER(SEARCH(LOWER(Estimation!$B$18),F1157)),1,0))</f>
        <v>0</v>
      </c>
      <c r="H1157" s="5" t="str">
        <f>IF(G1157=1,SUM($G$4:G1157),"")</f>
        <v/>
      </c>
    </row>
    <row r="1158" spans="1:8" x14ac:dyDescent="0.35">
      <c r="A1158" s="56" t="s">
        <v>2858</v>
      </c>
      <c r="B1158" s="56" t="s">
        <v>4634</v>
      </c>
      <c r="C1158" s="56" t="s">
        <v>4635</v>
      </c>
      <c r="D1158" s="39">
        <v>2.2999999999999998</v>
      </c>
      <c r="E1158" s="56" t="s">
        <v>4636</v>
      </c>
      <c r="F1158" s="55" t="s">
        <v>4637</v>
      </c>
      <c r="G1158" s="5">
        <f>IF(Estimation!$B$18="",0,IF(ISNUMBER(SEARCH(LOWER(Estimation!$B$18),F1158)),1,0))</f>
        <v>0</v>
      </c>
      <c r="H1158" s="5" t="str">
        <f>IF(G1158=1,SUM($G$4:G1158),"")</f>
        <v/>
      </c>
    </row>
    <row r="1159" spans="1:8" x14ac:dyDescent="0.35">
      <c r="A1159" s="56" t="s">
        <v>2858</v>
      </c>
      <c r="B1159" s="56" t="s">
        <v>4638</v>
      </c>
      <c r="C1159" s="56" t="s">
        <v>4639</v>
      </c>
      <c r="D1159" s="39">
        <v>13.98</v>
      </c>
      <c r="E1159" s="56" t="s">
        <v>4640</v>
      </c>
      <c r="F1159" s="55" t="s">
        <v>4641</v>
      </c>
      <c r="G1159" s="5">
        <f>IF(Estimation!$B$18="",0,IF(ISNUMBER(SEARCH(LOWER(Estimation!$B$18),F1159)),1,0))</f>
        <v>0</v>
      </c>
      <c r="H1159" s="5" t="str">
        <f>IF(G1159=1,SUM($G$4:G1159),"")</f>
        <v/>
      </c>
    </row>
    <row r="1160" spans="1:8" x14ac:dyDescent="0.35">
      <c r="A1160" s="56" t="s">
        <v>2858</v>
      </c>
      <c r="B1160" s="56" t="s">
        <v>4642</v>
      </c>
      <c r="C1160" s="56" t="s">
        <v>4643</v>
      </c>
      <c r="D1160" s="39">
        <v>8.3000000000000007</v>
      </c>
      <c r="E1160" s="56" t="s">
        <v>4644</v>
      </c>
      <c r="F1160" s="55" t="s">
        <v>4645</v>
      </c>
      <c r="G1160" s="5">
        <f>IF(Estimation!$B$18="",0,IF(ISNUMBER(SEARCH(LOWER(Estimation!$B$18),F1160)),1,0))</f>
        <v>0</v>
      </c>
      <c r="H1160" s="5" t="str">
        <f>IF(G1160=1,SUM($G$4:G1160),"")</f>
        <v/>
      </c>
    </row>
    <row r="1161" spans="1:8" x14ac:dyDescent="0.35">
      <c r="A1161" s="56" t="s">
        <v>2858</v>
      </c>
      <c r="B1161" s="56" t="s">
        <v>4646</v>
      </c>
      <c r="C1161" s="56" t="s">
        <v>4647</v>
      </c>
      <c r="D1161" s="39">
        <v>1796.89</v>
      </c>
      <c r="E1161" s="56" t="s">
        <v>4648</v>
      </c>
      <c r="F1161" s="55" t="s">
        <v>4649</v>
      </c>
      <c r="G1161" s="5">
        <f>IF(Estimation!$B$18="",0,IF(ISNUMBER(SEARCH(LOWER(Estimation!$B$18),F1161)),1,0))</f>
        <v>0</v>
      </c>
      <c r="H1161" s="5" t="str">
        <f>IF(G1161=1,SUM($G$4:G1161),"")</f>
        <v/>
      </c>
    </row>
    <row r="1162" spans="1:8" x14ac:dyDescent="0.35">
      <c r="A1162" s="56" t="s">
        <v>2858</v>
      </c>
      <c r="B1162" s="56" t="s">
        <v>4650</v>
      </c>
      <c r="C1162" s="56" t="s">
        <v>4651</v>
      </c>
      <c r="D1162" s="39">
        <v>2810.51</v>
      </c>
      <c r="E1162" s="56" t="s">
        <v>4652</v>
      </c>
      <c r="F1162" s="55" t="s">
        <v>4653</v>
      </c>
      <c r="G1162" s="5">
        <f>IF(Estimation!$B$18="",0,IF(ISNUMBER(SEARCH(LOWER(Estimation!$B$18),F1162)),1,0))</f>
        <v>0</v>
      </c>
      <c r="H1162" s="5" t="str">
        <f>IF(G1162=1,SUM($G$4:G1162),"")</f>
        <v/>
      </c>
    </row>
    <row r="1163" spans="1:8" x14ac:dyDescent="0.35">
      <c r="A1163" s="56" t="s">
        <v>2858</v>
      </c>
      <c r="B1163" s="56" t="s">
        <v>4654</v>
      </c>
      <c r="C1163" s="56" t="s">
        <v>4655</v>
      </c>
      <c r="D1163" s="39">
        <v>312.38</v>
      </c>
      <c r="E1163" s="56" t="s">
        <v>4656</v>
      </c>
      <c r="F1163" s="55" t="s">
        <v>4657</v>
      </c>
      <c r="G1163" s="5">
        <f>IF(Estimation!$B$18="",0,IF(ISNUMBER(SEARCH(LOWER(Estimation!$B$18),F1163)),1,0))</f>
        <v>0</v>
      </c>
      <c r="H1163" s="5" t="str">
        <f>IF(G1163=1,SUM($G$4:G1163),"")</f>
        <v/>
      </c>
    </row>
    <row r="1164" spans="1:8" x14ac:dyDescent="0.35">
      <c r="A1164" s="56" t="s">
        <v>2858</v>
      </c>
      <c r="B1164" s="56" t="s">
        <v>4658</v>
      </c>
      <c r="C1164" s="56" t="s">
        <v>4659</v>
      </c>
      <c r="D1164" s="39">
        <v>76.48</v>
      </c>
      <c r="E1164" s="56" t="s">
        <v>4660</v>
      </c>
      <c r="F1164" s="55" t="s">
        <v>4661</v>
      </c>
      <c r="G1164" s="5">
        <f>IF(Estimation!$B$18="",0,IF(ISNUMBER(SEARCH(LOWER(Estimation!$B$18),F1164)),1,0))</f>
        <v>0</v>
      </c>
      <c r="H1164" s="5" t="str">
        <f>IF(G1164=1,SUM($G$4:G1164),"")</f>
        <v/>
      </c>
    </row>
    <row r="1165" spans="1:8" x14ac:dyDescent="0.35">
      <c r="A1165" s="56" t="s">
        <v>2858</v>
      </c>
      <c r="B1165" s="56" t="s">
        <v>4662</v>
      </c>
      <c r="C1165" s="56" t="s">
        <v>4663</v>
      </c>
      <c r="D1165" s="39">
        <v>272.75</v>
      </c>
      <c r="E1165" s="56" t="s">
        <v>4664</v>
      </c>
      <c r="F1165" s="55" t="s">
        <v>4665</v>
      </c>
      <c r="G1165" s="5">
        <f>IF(Estimation!$B$18="",0,IF(ISNUMBER(SEARCH(LOWER(Estimation!$B$18),F1165)),1,0))</f>
        <v>0</v>
      </c>
      <c r="H1165" s="5" t="str">
        <f>IF(G1165=1,SUM($G$4:G1165),"")</f>
        <v/>
      </c>
    </row>
    <row r="1166" spans="1:8" x14ac:dyDescent="0.35">
      <c r="A1166" s="56" t="s">
        <v>2858</v>
      </c>
      <c r="B1166" s="56" t="s">
        <v>4666</v>
      </c>
      <c r="C1166" s="56" t="s">
        <v>4667</v>
      </c>
      <c r="D1166" s="39">
        <v>243.74</v>
      </c>
      <c r="E1166" s="56" t="s">
        <v>4668</v>
      </c>
      <c r="F1166" s="55" t="s">
        <v>4669</v>
      </c>
      <c r="G1166" s="5">
        <f>IF(Estimation!$B$18="",0,IF(ISNUMBER(SEARCH(LOWER(Estimation!$B$18),F1166)),1,0))</f>
        <v>0</v>
      </c>
      <c r="H1166" s="5" t="str">
        <f>IF(G1166=1,SUM($G$4:G1166),"")</f>
        <v/>
      </c>
    </row>
    <row r="1167" spans="1:8" x14ac:dyDescent="0.35">
      <c r="A1167" s="56" t="s">
        <v>2858</v>
      </c>
      <c r="B1167" s="56" t="s">
        <v>4670</v>
      </c>
      <c r="C1167" s="56" t="s">
        <v>4671</v>
      </c>
      <c r="D1167" s="39">
        <v>56.21</v>
      </c>
      <c r="E1167" s="56" t="s">
        <v>4672</v>
      </c>
      <c r="F1167" s="55" t="s">
        <v>4673</v>
      </c>
      <c r="G1167" s="5">
        <f>IF(Estimation!$B$18="",0,IF(ISNUMBER(SEARCH(LOWER(Estimation!$B$18),F1167)),1,0))</f>
        <v>0</v>
      </c>
      <c r="H1167" s="5" t="str">
        <f>IF(G1167=1,SUM($G$4:G1167),"")</f>
        <v/>
      </c>
    </row>
    <row r="1168" spans="1:8" x14ac:dyDescent="0.35">
      <c r="A1168" s="56" t="s">
        <v>2858</v>
      </c>
      <c r="B1168" s="56" t="s">
        <v>4674</v>
      </c>
      <c r="C1168" s="56" t="s">
        <v>4675</v>
      </c>
      <c r="D1168" s="39">
        <v>8955.94</v>
      </c>
      <c r="E1168" s="56" t="s">
        <v>4676</v>
      </c>
      <c r="F1168" s="55" t="s">
        <v>4677</v>
      </c>
      <c r="G1168" s="5">
        <f>IF(Estimation!$B$18="",0,IF(ISNUMBER(SEARCH(LOWER(Estimation!$B$18),F1168)),1,0))</f>
        <v>0</v>
      </c>
      <c r="H1168" s="5" t="str">
        <f>IF(G1168=1,SUM($G$4:G1168),"")</f>
        <v/>
      </c>
    </row>
    <row r="1169" spans="1:8" x14ac:dyDescent="0.35">
      <c r="A1169" s="56" t="s">
        <v>2858</v>
      </c>
      <c r="B1169" s="56" t="s">
        <v>4678</v>
      </c>
      <c r="C1169" s="56" t="s">
        <v>4679</v>
      </c>
      <c r="D1169" s="39">
        <v>10001.68</v>
      </c>
      <c r="E1169" s="56" t="s">
        <v>4680</v>
      </c>
      <c r="F1169" s="55" t="s">
        <v>4681</v>
      </c>
      <c r="G1169" s="5">
        <f>IF(Estimation!$B$18="",0,IF(ISNUMBER(SEARCH(LOWER(Estimation!$B$18),F1169)),1,0))</f>
        <v>0</v>
      </c>
      <c r="H1169" s="5" t="str">
        <f>IF(G1169=1,SUM($G$4:G1169),"")</f>
        <v/>
      </c>
    </row>
    <row r="1170" spans="1:8" x14ac:dyDescent="0.35">
      <c r="A1170" s="56" t="s">
        <v>2858</v>
      </c>
      <c r="B1170" s="56" t="s">
        <v>687</v>
      </c>
      <c r="C1170" s="56" t="s">
        <v>4682</v>
      </c>
      <c r="D1170" s="39">
        <v>5064.13</v>
      </c>
      <c r="E1170" s="56" t="s">
        <v>4683</v>
      </c>
      <c r="F1170" s="55" t="s">
        <v>4684</v>
      </c>
      <c r="G1170" s="5">
        <f>IF(Estimation!$B$18="",0,IF(ISNUMBER(SEARCH(LOWER(Estimation!$B$18),F1170)),1,0))</f>
        <v>0</v>
      </c>
      <c r="H1170" s="5" t="str">
        <f>IF(G1170=1,SUM($G$4:G1170),"")</f>
        <v/>
      </c>
    </row>
    <row r="1171" spans="1:8" x14ac:dyDescent="0.35">
      <c r="A1171" s="56" t="s">
        <v>2858</v>
      </c>
      <c r="B1171" s="56" t="s">
        <v>4685</v>
      </c>
      <c r="C1171" s="56" t="s">
        <v>4686</v>
      </c>
      <c r="D1171" s="39">
        <v>6175.13</v>
      </c>
      <c r="E1171" s="56" t="s">
        <v>4687</v>
      </c>
      <c r="F1171" s="55" t="s">
        <v>4688</v>
      </c>
      <c r="G1171" s="5">
        <f>IF(Estimation!$B$18="",0,IF(ISNUMBER(SEARCH(LOWER(Estimation!$B$18),F1171)),1,0))</f>
        <v>0</v>
      </c>
      <c r="H1171" s="5" t="str">
        <f>IF(G1171=1,SUM($G$4:G1171),"")</f>
        <v/>
      </c>
    </row>
    <row r="1172" spans="1:8" x14ac:dyDescent="0.35">
      <c r="A1172" s="56" t="s">
        <v>2858</v>
      </c>
      <c r="B1172" s="56" t="s">
        <v>695</v>
      </c>
      <c r="C1172" s="56" t="s">
        <v>4689</v>
      </c>
      <c r="D1172" s="39">
        <v>6956.82</v>
      </c>
      <c r="E1172" s="56" t="s">
        <v>4690</v>
      </c>
      <c r="F1172" s="55" t="s">
        <v>4691</v>
      </c>
      <c r="G1172" s="5">
        <f>IF(Estimation!$B$18="",0,IF(ISNUMBER(SEARCH(LOWER(Estimation!$B$18),F1172)),1,0))</f>
        <v>0</v>
      </c>
      <c r="H1172" s="5" t="str">
        <f>IF(G1172=1,SUM($G$4:G1172),"")</f>
        <v/>
      </c>
    </row>
    <row r="1173" spans="1:8" x14ac:dyDescent="0.35">
      <c r="A1173" s="56" t="s">
        <v>2858</v>
      </c>
      <c r="B1173" s="56" t="s">
        <v>707</v>
      </c>
      <c r="C1173" s="56" t="s">
        <v>4692</v>
      </c>
      <c r="D1173" s="39">
        <v>10764.42</v>
      </c>
      <c r="E1173" s="56" t="s">
        <v>4693</v>
      </c>
      <c r="F1173" s="55" t="s">
        <v>4694</v>
      </c>
      <c r="G1173" s="5">
        <f>IF(Estimation!$B$18="",0,IF(ISNUMBER(SEARCH(LOWER(Estimation!$B$18),F1173)),1,0))</f>
        <v>0</v>
      </c>
      <c r="H1173" s="5" t="str">
        <f>IF(G1173=1,SUM($G$4:G1173),"")</f>
        <v/>
      </c>
    </row>
    <row r="1174" spans="1:8" x14ac:dyDescent="0.35">
      <c r="A1174" s="56" t="s">
        <v>2858</v>
      </c>
      <c r="B1174" s="56" t="s">
        <v>711</v>
      </c>
      <c r="C1174" s="56" t="s">
        <v>4695</v>
      </c>
      <c r="D1174" s="39">
        <v>11647.7</v>
      </c>
      <c r="E1174" s="56" t="s">
        <v>4696</v>
      </c>
      <c r="F1174" s="55" t="s">
        <v>4697</v>
      </c>
      <c r="G1174" s="5">
        <f>IF(Estimation!$B$18="",0,IF(ISNUMBER(SEARCH(LOWER(Estimation!$B$18),F1174)),1,0))</f>
        <v>0</v>
      </c>
      <c r="H1174" s="5" t="str">
        <f>IF(G1174=1,SUM($G$4:G1174),"")</f>
        <v/>
      </c>
    </row>
    <row r="1175" spans="1:8" x14ac:dyDescent="0.35">
      <c r="A1175" s="56" t="s">
        <v>2858</v>
      </c>
      <c r="B1175" s="56" t="s">
        <v>699</v>
      </c>
      <c r="C1175" s="56" t="s">
        <v>4698</v>
      </c>
      <c r="D1175" s="39">
        <v>8398.2999999999993</v>
      </c>
      <c r="E1175" s="56" t="s">
        <v>4699</v>
      </c>
      <c r="F1175" s="55" t="s">
        <v>4700</v>
      </c>
      <c r="G1175" s="5">
        <f>IF(Estimation!$B$18="",0,IF(ISNUMBER(SEARCH(LOWER(Estimation!$B$18),F1175)),1,0))</f>
        <v>0</v>
      </c>
      <c r="H1175" s="5" t="str">
        <f>IF(G1175=1,SUM($G$4:G1175),"")</f>
        <v/>
      </c>
    </row>
    <row r="1176" spans="1:8" x14ac:dyDescent="0.35">
      <c r="A1176" s="56" t="s">
        <v>2858</v>
      </c>
      <c r="B1176" s="56" t="s">
        <v>703</v>
      </c>
      <c r="C1176" s="56" t="s">
        <v>4701</v>
      </c>
      <c r="D1176" s="39">
        <v>8713.3799999999992</v>
      </c>
      <c r="E1176" s="56" t="s">
        <v>4702</v>
      </c>
      <c r="F1176" s="55" t="s">
        <v>4703</v>
      </c>
      <c r="G1176" s="5">
        <f>IF(Estimation!$B$18="",0,IF(ISNUMBER(SEARCH(LOWER(Estimation!$B$18),F1176)),1,0))</f>
        <v>0</v>
      </c>
      <c r="H1176" s="5" t="str">
        <f>IF(G1176=1,SUM($G$4:G1176),"")</f>
        <v/>
      </c>
    </row>
    <row r="1177" spans="1:8" x14ac:dyDescent="0.35">
      <c r="A1177" s="56" t="s">
        <v>2858</v>
      </c>
      <c r="B1177" s="56" t="s">
        <v>4704</v>
      </c>
      <c r="C1177" s="56" t="s">
        <v>4705</v>
      </c>
      <c r="D1177" s="39">
        <v>1509.38</v>
      </c>
      <c r="E1177" s="56" t="s">
        <v>4706</v>
      </c>
      <c r="F1177" s="55" t="s">
        <v>4707</v>
      </c>
      <c r="G1177" s="5">
        <f>IF(Estimation!$B$18="",0,IF(ISNUMBER(SEARCH(LOWER(Estimation!$B$18),F1177)),1,0))</f>
        <v>0</v>
      </c>
      <c r="H1177" s="5" t="str">
        <f>IF(G1177=1,SUM($G$4:G1177),"")</f>
        <v/>
      </c>
    </row>
    <row r="1178" spans="1:8" x14ac:dyDescent="0.35">
      <c r="A1178" s="56" t="s">
        <v>2858</v>
      </c>
      <c r="B1178" s="56" t="s">
        <v>723</v>
      </c>
      <c r="C1178" s="56" t="s">
        <v>4708</v>
      </c>
      <c r="D1178" s="39">
        <v>1382.22</v>
      </c>
      <c r="E1178" s="56" t="s">
        <v>4709</v>
      </c>
      <c r="F1178" s="55" t="s">
        <v>4710</v>
      </c>
      <c r="G1178" s="5">
        <f>IF(Estimation!$B$18="",0,IF(ISNUMBER(SEARCH(LOWER(Estimation!$B$18),F1178)),1,0))</f>
        <v>0</v>
      </c>
      <c r="H1178" s="5" t="str">
        <f>IF(G1178=1,SUM($G$4:G1178),"")</f>
        <v/>
      </c>
    </row>
    <row r="1179" spans="1:8" x14ac:dyDescent="0.35">
      <c r="A1179" s="56" t="s">
        <v>2858</v>
      </c>
      <c r="B1179" s="56" t="s">
        <v>4711</v>
      </c>
      <c r="C1179" s="56" t="s">
        <v>4712</v>
      </c>
      <c r="D1179" s="39">
        <v>2080.7600000000002</v>
      </c>
      <c r="E1179" s="56" t="s">
        <v>4713</v>
      </c>
      <c r="F1179" s="55" t="s">
        <v>4714</v>
      </c>
      <c r="G1179" s="5">
        <f>IF(Estimation!$B$18="",0,IF(ISNUMBER(SEARCH(LOWER(Estimation!$B$18),F1179)),1,0))</f>
        <v>0</v>
      </c>
      <c r="H1179" s="5" t="str">
        <f>IF(G1179=1,SUM($G$4:G1179),"")</f>
        <v/>
      </c>
    </row>
    <row r="1180" spans="1:8" x14ac:dyDescent="0.35">
      <c r="A1180" s="56" t="s">
        <v>2858</v>
      </c>
      <c r="B1180" s="56" t="s">
        <v>4715</v>
      </c>
      <c r="C1180" s="56" t="s">
        <v>4716</v>
      </c>
      <c r="D1180" s="39">
        <v>2316.06</v>
      </c>
      <c r="E1180" s="56" t="s">
        <v>4717</v>
      </c>
      <c r="F1180" s="55" t="s">
        <v>4718</v>
      </c>
      <c r="G1180" s="5">
        <f>IF(Estimation!$B$18="",0,IF(ISNUMBER(SEARCH(LOWER(Estimation!$B$18),F1180)),1,0))</f>
        <v>0</v>
      </c>
      <c r="H1180" s="5" t="str">
        <f>IF(G1180=1,SUM($G$4:G1180),"")</f>
        <v/>
      </c>
    </row>
    <row r="1181" spans="1:8" x14ac:dyDescent="0.35">
      <c r="A1181" s="56" t="s">
        <v>2858</v>
      </c>
      <c r="B1181" s="56" t="s">
        <v>739</v>
      </c>
      <c r="C1181" s="56" t="s">
        <v>4719</v>
      </c>
      <c r="D1181" s="39">
        <v>600.14</v>
      </c>
      <c r="E1181" s="56" t="s">
        <v>4720</v>
      </c>
      <c r="F1181" s="55" t="s">
        <v>4721</v>
      </c>
      <c r="G1181" s="5">
        <f>IF(Estimation!$B$18="",0,IF(ISNUMBER(SEARCH(LOWER(Estimation!$B$18),F1181)),1,0))</f>
        <v>0</v>
      </c>
      <c r="H1181" s="5" t="str">
        <f>IF(G1181=1,SUM($G$4:G1181),"")</f>
        <v/>
      </c>
    </row>
    <row r="1182" spans="1:8" x14ac:dyDescent="0.35">
      <c r="A1182" s="56" t="s">
        <v>2858</v>
      </c>
      <c r="B1182" s="56" t="s">
        <v>743</v>
      </c>
      <c r="C1182" s="56" t="s">
        <v>4722</v>
      </c>
      <c r="D1182" s="39">
        <v>395.91</v>
      </c>
      <c r="E1182" s="56" t="s">
        <v>4723</v>
      </c>
      <c r="F1182" s="55" t="s">
        <v>4724</v>
      </c>
      <c r="G1182" s="5">
        <f>IF(Estimation!$B$18="",0,IF(ISNUMBER(SEARCH(LOWER(Estimation!$B$18),F1182)),1,0))</f>
        <v>0</v>
      </c>
      <c r="H1182" s="5" t="str">
        <f>IF(G1182=1,SUM($G$4:G1182),"")</f>
        <v/>
      </c>
    </row>
    <row r="1183" spans="1:8" x14ac:dyDescent="0.35">
      <c r="A1183" s="56" t="s">
        <v>2858</v>
      </c>
      <c r="B1183" s="56" t="s">
        <v>679</v>
      </c>
      <c r="C1183" s="56" t="s">
        <v>4725</v>
      </c>
      <c r="D1183" s="39">
        <v>2621.3000000000002</v>
      </c>
      <c r="E1183" s="56" t="s">
        <v>4726</v>
      </c>
      <c r="F1183" s="55" t="s">
        <v>4727</v>
      </c>
      <c r="G1183" s="5">
        <f>IF(Estimation!$B$18="",0,IF(ISNUMBER(SEARCH(LOWER(Estimation!$B$18),F1183)),1,0))</f>
        <v>0</v>
      </c>
      <c r="H1183" s="5" t="str">
        <f>IF(G1183=1,SUM($G$4:G1183),"")</f>
        <v/>
      </c>
    </row>
    <row r="1184" spans="1:8" x14ac:dyDescent="0.35">
      <c r="A1184" s="56" t="s">
        <v>2858</v>
      </c>
      <c r="B1184" s="56" t="s">
        <v>683</v>
      </c>
      <c r="C1184" s="56" t="s">
        <v>4728</v>
      </c>
      <c r="D1184" s="39">
        <v>3312.06</v>
      </c>
      <c r="E1184" s="56" t="s">
        <v>4729</v>
      </c>
      <c r="F1184" s="55" t="s">
        <v>4730</v>
      </c>
      <c r="G1184" s="5">
        <f>IF(Estimation!$B$18="",0,IF(ISNUMBER(SEARCH(LOWER(Estimation!$B$18),F1184)),1,0))</f>
        <v>0</v>
      </c>
      <c r="H1184" s="5" t="str">
        <f>IF(G1184=1,SUM($G$4:G1184),"")</f>
        <v/>
      </c>
    </row>
    <row r="1185" spans="1:8" x14ac:dyDescent="0.35">
      <c r="A1185" s="56" t="s">
        <v>2858</v>
      </c>
      <c r="B1185" s="56" t="s">
        <v>715</v>
      </c>
      <c r="C1185" s="56" t="s">
        <v>4731</v>
      </c>
      <c r="D1185" s="39">
        <v>7326.31</v>
      </c>
      <c r="E1185" s="56" t="s">
        <v>4732</v>
      </c>
      <c r="F1185" s="55" t="s">
        <v>4733</v>
      </c>
      <c r="G1185" s="5">
        <f>IF(Estimation!$B$18="",0,IF(ISNUMBER(SEARCH(LOWER(Estimation!$B$18),F1185)),1,0))</f>
        <v>0</v>
      </c>
      <c r="H1185" s="5" t="str">
        <f>IF(G1185=1,SUM($G$4:G1185),"")</f>
        <v/>
      </c>
    </row>
    <row r="1186" spans="1:8" x14ac:dyDescent="0.35">
      <c r="A1186" s="56" t="s">
        <v>2858</v>
      </c>
      <c r="B1186" s="56" t="s">
        <v>719</v>
      </c>
      <c r="C1186" s="56" t="s">
        <v>4734</v>
      </c>
      <c r="D1186" s="39">
        <v>7990.37</v>
      </c>
      <c r="E1186" s="56" t="s">
        <v>4735</v>
      </c>
      <c r="F1186" s="55" t="s">
        <v>4736</v>
      </c>
      <c r="G1186" s="5">
        <f>IF(Estimation!$B$18="",0,IF(ISNUMBER(SEARCH(LOWER(Estimation!$B$18),F1186)),1,0))</f>
        <v>0</v>
      </c>
      <c r="H1186" s="5" t="str">
        <f>IF(G1186=1,SUM($G$4:G1186),"")</f>
        <v/>
      </c>
    </row>
    <row r="1187" spans="1:8" x14ac:dyDescent="0.35">
      <c r="A1187" s="56" t="s">
        <v>2858</v>
      </c>
      <c r="B1187" s="56" t="s">
        <v>4737</v>
      </c>
      <c r="C1187" s="56" t="s">
        <v>4738</v>
      </c>
      <c r="D1187" s="39">
        <v>221.88</v>
      </c>
      <c r="E1187" s="56" t="s">
        <v>4739</v>
      </c>
      <c r="F1187" s="55" t="s">
        <v>4740</v>
      </c>
      <c r="G1187" s="5">
        <f>IF(Estimation!$B$18="",0,IF(ISNUMBER(SEARCH(LOWER(Estimation!$B$18),F1187)),1,0))</f>
        <v>0</v>
      </c>
      <c r="H1187" s="5" t="str">
        <f>IF(G1187=1,SUM($G$4:G1187),"")</f>
        <v/>
      </c>
    </row>
    <row r="1188" spans="1:8" x14ac:dyDescent="0.35">
      <c r="A1188" s="56" t="s">
        <v>2858</v>
      </c>
      <c r="B1188" s="56" t="s">
        <v>4741</v>
      </c>
      <c r="C1188" s="56" t="s">
        <v>4742</v>
      </c>
      <c r="D1188" s="39">
        <v>1626.76</v>
      </c>
      <c r="E1188" s="56" t="s">
        <v>4743</v>
      </c>
      <c r="F1188" s="55" t="s">
        <v>4744</v>
      </c>
      <c r="G1188" s="5">
        <f>IF(Estimation!$B$18="",0,IF(ISNUMBER(SEARCH(LOWER(Estimation!$B$18),F1188)),1,0))</f>
        <v>0</v>
      </c>
      <c r="H1188" s="5" t="str">
        <f>IF(G1188=1,SUM($G$4:G1188),"")</f>
        <v/>
      </c>
    </row>
    <row r="1189" spans="1:8" x14ac:dyDescent="0.35">
      <c r="A1189" s="56" t="s">
        <v>2858</v>
      </c>
      <c r="B1189" s="56" t="s">
        <v>4745</v>
      </c>
      <c r="C1189" s="56" t="s">
        <v>4746</v>
      </c>
      <c r="D1189" s="39">
        <v>1861.43</v>
      </c>
      <c r="E1189" s="56" t="s">
        <v>4747</v>
      </c>
      <c r="F1189" s="55" t="s">
        <v>4748</v>
      </c>
      <c r="G1189" s="5">
        <f>IF(Estimation!$B$18="",0,IF(ISNUMBER(SEARCH(LOWER(Estimation!$B$18),F1189)),1,0))</f>
        <v>0</v>
      </c>
      <c r="H1189" s="5" t="str">
        <f>IF(G1189=1,SUM($G$4:G1189),"")</f>
        <v/>
      </c>
    </row>
    <row r="1190" spans="1:8" x14ac:dyDescent="0.35">
      <c r="A1190" s="56" t="s">
        <v>2858</v>
      </c>
      <c r="B1190" s="56" t="s">
        <v>4749</v>
      </c>
      <c r="C1190" s="56" t="s">
        <v>4750</v>
      </c>
      <c r="D1190" s="39">
        <v>944.06</v>
      </c>
      <c r="E1190" s="56" t="s">
        <v>4751</v>
      </c>
      <c r="F1190" s="55" t="s">
        <v>4752</v>
      </c>
      <c r="G1190" s="5">
        <f>IF(Estimation!$B$18="",0,IF(ISNUMBER(SEARCH(LOWER(Estimation!$B$18),F1190)),1,0))</f>
        <v>0</v>
      </c>
      <c r="H1190" s="5" t="str">
        <f>IF(G1190=1,SUM($G$4:G1190),"")</f>
        <v/>
      </c>
    </row>
    <row r="1191" spans="1:8" x14ac:dyDescent="0.35">
      <c r="A1191" s="56" t="s">
        <v>2858</v>
      </c>
      <c r="B1191" s="56" t="s">
        <v>4753</v>
      </c>
      <c r="C1191" s="56" t="s">
        <v>4754</v>
      </c>
      <c r="D1191" s="39">
        <v>1808.11</v>
      </c>
      <c r="E1191" s="56" t="s">
        <v>4755</v>
      </c>
      <c r="F1191" s="55" t="s">
        <v>4756</v>
      </c>
      <c r="G1191" s="5">
        <f>IF(Estimation!$B$18="",0,IF(ISNUMBER(SEARCH(LOWER(Estimation!$B$18),F1191)),1,0))</f>
        <v>0</v>
      </c>
      <c r="H1191" s="5" t="str">
        <f>IF(G1191=1,SUM($G$4:G1191),"")</f>
        <v/>
      </c>
    </row>
    <row r="1192" spans="1:8" x14ac:dyDescent="0.35">
      <c r="A1192" s="56" t="s">
        <v>2858</v>
      </c>
      <c r="B1192" s="56" t="s">
        <v>4757</v>
      </c>
      <c r="C1192" s="56" t="s">
        <v>4758</v>
      </c>
      <c r="D1192" s="39">
        <v>1333.41</v>
      </c>
      <c r="E1192" s="56" t="s">
        <v>4759</v>
      </c>
      <c r="F1192" s="55" t="s">
        <v>4760</v>
      </c>
      <c r="G1192" s="5">
        <f>IF(Estimation!$B$18="",0,IF(ISNUMBER(SEARCH(LOWER(Estimation!$B$18),F1192)),1,0))</f>
        <v>0</v>
      </c>
      <c r="H1192" s="5" t="str">
        <f>IF(G1192=1,SUM($G$4:G1192),"")</f>
        <v/>
      </c>
    </row>
    <row r="1193" spans="1:8" x14ac:dyDescent="0.35">
      <c r="A1193" s="56" t="s">
        <v>2858</v>
      </c>
      <c r="B1193" s="56" t="s">
        <v>4761</v>
      </c>
      <c r="C1193" s="56" t="s">
        <v>4762</v>
      </c>
      <c r="D1193" s="39">
        <v>1626.76</v>
      </c>
      <c r="E1193" s="56" t="s">
        <v>4763</v>
      </c>
      <c r="F1193" s="55" t="s">
        <v>4764</v>
      </c>
      <c r="G1193" s="5">
        <f>IF(Estimation!$B$18="",0,IF(ISNUMBER(SEARCH(LOWER(Estimation!$B$18),F1193)),1,0))</f>
        <v>0</v>
      </c>
      <c r="H1193" s="5" t="str">
        <f>IF(G1193=1,SUM($G$4:G1193),"")</f>
        <v/>
      </c>
    </row>
    <row r="1194" spans="1:8" x14ac:dyDescent="0.35">
      <c r="A1194" s="56" t="s">
        <v>2858</v>
      </c>
      <c r="B1194" s="56" t="s">
        <v>4765</v>
      </c>
      <c r="C1194" s="56" t="s">
        <v>4766</v>
      </c>
      <c r="D1194" s="39">
        <v>1626.76</v>
      </c>
      <c r="E1194" s="56" t="s">
        <v>4767</v>
      </c>
      <c r="F1194" s="55" t="s">
        <v>4768</v>
      </c>
      <c r="G1194" s="5">
        <f>IF(Estimation!$B$18="",0,IF(ISNUMBER(SEARCH(LOWER(Estimation!$B$18),F1194)),1,0))</f>
        <v>0</v>
      </c>
      <c r="H1194" s="5" t="str">
        <f>IF(G1194=1,SUM($G$4:G1194),"")</f>
        <v/>
      </c>
    </row>
    <row r="1195" spans="1:8" x14ac:dyDescent="0.35">
      <c r="A1195" s="56" t="s">
        <v>2858</v>
      </c>
      <c r="B1195" s="56" t="s">
        <v>4769</v>
      </c>
      <c r="C1195" s="56" t="s">
        <v>4770</v>
      </c>
      <c r="D1195" s="39">
        <v>2088.66</v>
      </c>
      <c r="E1195" s="56" t="s">
        <v>4771</v>
      </c>
      <c r="F1195" s="55" t="s">
        <v>4772</v>
      </c>
      <c r="G1195" s="5">
        <f>IF(Estimation!$B$18="",0,IF(ISNUMBER(SEARCH(LOWER(Estimation!$B$18),F1195)),1,0))</f>
        <v>0</v>
      </c>
      <c r="H1195" s="5" t="str">
        <f>IF(G1195=1,SUM($G$4:G1195),"")</f>
        <v/>
      </c>
    </row>
    <row r="1196" spans="1:8" x14ac:dyDescent="0.35">
      <c r="A1196" s="56" t="s">
        <v>2858</v>
      </c>
      <c r="B1196" s="56" t="s">
        <v>4773</v>
      </c>
      <c r="C1196" s="56" t="s">
        <v>4774</v>
      </c>
      <c r="D1196" s="39">
        <v>1333.41</v>
      </c>
      <c r="E1196" s="56" t="s">
        <v>4775</v>
      </c>
      <c r="F1196" s="55" t="s">
        <v>4776</v>
      </c>
      <c r="G1196" s="5">
        <f>IF(Estimation!$B$18="",0,IF(ISNUMBER(SEARCH(LOWER(Estimation!$B$18),F1196)),1,0))</f>
        <v>0</v>
      </c>
      <c r="H1196" s="5" t="str">
        <f>IF(G1196=1,SUM($G$4:G1196),"")</f>
        <v/>
      </c>
    </row>
    <row r="1197" spans="1:8" x14ac:dyDescent="0.35">
      <c r="A1197" s="56" t="s">
        <v>2858</v>
      </c>
      <c r="B1197" s="56" t="s">
        <v>4777</v>
      </c>
      <c r="C1197" s="56" t="s">
        <v>4778</v>
      </c>
      <c r="D1197" s="39">
        <v>1861.43</v>
      </c>
      <c r="E1197" s="56" t="s">
        <v>4779</v>
      </c>
      <c r="F1197" s="55" t="s">
        <v>4780</v>
      </c>
      <c r="G1197" s="5">
        <f>IF(Estimation!$B$18="",0,IF(ISNUMBER(SEARCH(LOWER(Estimation!$B$18),F1197)),1,0))</f>
        <v>0</v>
      </c>
      <c r="H1197" s="5" t="str">
        <f>IF(G1197=1,SUM($G$4:G1197),"")</f>
        <v/>
      </c>
    </row>
    <row r="1198" spans="1:8" x14ac:dyDescent="0.35">
      <c r="A1198" s="56" t="s">
        <v>2858</v>
      </c>
      <c r="B1198" s="56" t="s">
        <v>4781</v>
      </c>
      <c r="C1198" s="56" t="s">
        <v>4782</v>
      </c>
      <c r="D1198" s="39">
        <v>26.62</v>
      </c>
      <c r="E1198" s="56" t="s">
        <v>4783</v>
      </c>
      <c r="F1198" s="55" t="s">
        <v>4784</v>
      </c>
      <c r="G1198" s="5">
        <f>IF(Estimation!$B$18="",0,IF(ISNUMBER(SEARCH(LOWER(Estimation!$B$18),F1198)),1,0))</f>
        <v>0</v>
      </c>
      <c r="H1198" s="5" t="str">
        <f>IF(G1198=1,SUM($G$4:G1198),"")</f>
        <v/>
      </c>
    </row>
    <row r="1199" spans="1:8" x14ac:dyDescent="0.35">
      <c r="A1199" s="56" t="s">
        <v>2858</v>
      </c>
      <c r="B1199" s="56" t="s">
        <v>4785</v>
      </c>
      <c r="C1199" s="56" t="s">
        <v>4786</v>
      </c>
      <c r="D1199" s="39">
        <v>1248.44</v>
      </c>
      <c r="E1199" s="56" t="s">
        <v>4787</v>
      </c>
      <c r="F1199" s="55" t="s">
        <v>4788</v>
      </c>
      <c r="G1199" s="5">
        <f>IF(Estimation!$B$18="",0,IF(ISNUMBER(SEARCH(LOWER(Estimation!$B$18),F1199)),1,0))</f>
        <v>0</v>
      </c>
      <c r="H1199" s="5" t="str">
        <f>IF(G1199=1,SUM($G$4:G1199),"")</f>
        <v/>
      </c>
    </row>
    <row r="1200" spans="1:8" x14ac:dyDescent="0.35">
      <c r="A1200" s="56" t="s">
        <v>2858</v>
      </c>
      <c r="B1200" s="56" t="s">
        <v>4789</v>
      </c>
      <c r="C1200" s="56" t="s">
        <v>4790</v>
      </c>
      <c r="D1200" s="39">
        <v>1200.06</v>
      </c>
      <c r="E1200" s="56" t="s">
        <v>4791</v>
      </c>
      <c r="F1200" s="55" t="s">
        <v>4792</v>
      </c>
      <c r="G1200" s="5">
        <f>IF(Estimation!$B$18="",0,IF(ISNUMBER(SEARCH(LOWER(Estimation!$B$18),F1200)),1,0))</f>
        <v>0</v>
      </c>
      <c r="H1200" s="5" t="str">
        <f>IF(G1200=1,SUM($G$4:G1200),"")</f>
        <v/>
      </c>
    </row>
    <row r="1201" spans="1:8" x14ac:dyDescent="0.35">
      <c r="A1201" s="56" t="s">
        <v>2858</v>
      </c>
      <c r="B1201" s="56" t="s">
        <v>4793</v>
      </c>
      <c r="C1201" s="56" t="s">
        <v>4794</v>
      </c>
      <c r="D1201" s="39">
        <v>1074.1400000000001</v>
      </c>
      <c r="E1201" s="56" t="s">
        <v>4795</v>
      </c>
      <c r="F1201" s="55" t="s">
        <v>4796</v>
      </c>
      <c r="G1201" s="5">
        <f>IF(Estimation!$B$18="",0,IF(ISNUMBER(SEARCH(LOWER(Estimation!$B$18),F1201)),1,0))</f>
        <v>0</v>
      </c>
      <c r="H1201" s="5" t="str">
        <f>IF(G1201=1,SUM($G$4:G1201),"")</f>
        <v/>
      </c>
    </row>
    <row r="1202" spans="1:8" x14ac:dyDescent="0.35">
      <c r="A1202" s="56" t="s">
        <v>2858</v>
      </c>
      <c r="B1202" s="56" t="s">
        <v>4797</v>
      </c>
      <c r="C1202" s="56" t="s">
        <v>4798</v>
      </c>
      <c r="D1202" s="39">
        <v>1214.46</v>
      </c>
      <c r="E1202" s="56" t="s">
        <v>4799</v>
      </c>
      <c r="F1202" s="55" t="s">
        <v>4800</v>
      </c>
      <c r="G1202" s="5">
        <f>IF(Estimation!$B$18="",0,IF(ISNUMBER(SEARCH(LOWER(Estimation!$B$18),F1202)),1,0))</f>
        <v>0</v>
      </c>
      <c r="H1202" s="5" t="str">
        <f>IF(G1202=1,SUM($G$4:G1202),"")</f>
        <v/>
      </c>
    </row>
    <row r="1203" spans="1:8" x14ac:dyDescent="0.35">
      <c r="A1203" s="56" t="s">
        <v>2858</v>
      </c>
      <c r="B1203" s="56" t="s">
        <v>727</v>
      </c>
      <c r="C1203" s="56" t="s">
        <v>4801</v>
      </c>
      <c r="D1203" s="39">
        <v>110.77</v>
      </c>
      <c r="E1203" s="56" t="s">
        <v>4802</v>
      </c>
      <c r="F1203" s="55" t="s">
        <v>4803</v>
      </c>
      <c r="G1203" s="5">
        <f>IF(Estimation!$B$18="",0,IF(ISNUMBER(SEARCH(LOWER(Estimation!$B$18),F1203)),1,0))</f>
        <v>0</v>
      </c>
      <c r="H1203" s="5" t="str">
        <f>IF(G1203=1,SUM($G$4:G1203),"")</f>
        <v/>
      </c>
    </row>
    <row r="1204" spans="1:8" x14ac:dyDescent="0.35">
      <c r="A1204" s="56" t="s">
        <v>2858</v>
      </c>
      <c r="B1204" s="56" t="s">
        <v>4804</v>
      </c>
      <c r="C1204" s="56" t="s">
        <v>4805</v>
      </c>
      <c r="D1204" s="39">
        <v>525.24</v>
      </c>
      <c r="E1204" s="56" t="s">
        <v>4806</v>
      </c>
      <c r="F1204" s="55" t="s">
        <v>4807</v>
      </c>
      <c r="G1204" s="5">
        <f>IF(Estimation!$B$18="",0,IF(ISNUMBER(SEARCH(LOWER(Estimation!$B$18),F1204)),1,0))</f>
        <v>0</v>
      </c>
      <c r="H1204" s="5" t="str">
        <f>IF(G1204=1,SUM($G$4:G1204),"")</f>
        <v/>
      </c>
    </row>
    <row r="1205" spans="1:8" x14ac:dyDescent="0.35">
      <c r="A1205" s="56" t="s">
        <v>2858</v>
      </c>
      <c r="B1205" s="56" t="s">
        <v>4808</v>
      </c>
      <c r="C1205" s="56" t="s">
        <v>4809</v>
      </c>
      <c r="D1205" s="39">
        <v>809.08</v>
      </c>
      <c r="E1205" s="56" t="s">
        <v>4810</v>
      </c>
      <c r="F1205" s="55" t="s">
        <v>4811</v>
      </c>
      <c r="G1205" s="5">
        <f>IF(Estimation!$B$18="",0,IF(ISNUMBER(SEARCH(LOWER(Estimation!$B$18),F1205)),1,0))</f>
        <v>0</v>
      </c>
      <c r="H1205" s="5" t="str">
        <f>IF(G1205=1,SUM($G$4:G1205),"")</f>
        <v/>
      </c>
    </row>
    <row r="1206" spans="1:8" x14ac:dyDescent="0.35">
      <c r="A1206" s="56" t="s">
        <v>2858</v>
      </c>
      <c r="B1206" s="56" t="s">
        <v>4812</v>
      </c>
      <c r="C1206" s="56" t="s">
        <v>4813</v>
      </c>
      <c r="D1206" s="39">
        <v>1659.35</v>
      </c>
      <c r="E1206" s="56" t="s">
        <v>4814</v>
      </c>
      <c r="F1206" s="55" t="s">
        <v>4815</v>
      </c>
      <c r="G1206" s="5">
        <f>IF(Estimation!$B$18="",0,IF(ISNUMBER(SEARCH(LOWER(Estimation!$B$18),F1206)),1,0))</f>
        <v>0</v>
      </c>
      <c r="H1206" s="5" t="str">
        <f>IF(G1206=1,SUM($G$4:G1206),"")</f>
        <v/>
      </c>
    </row>
    <row r="1207" spans="1:8" x14ac:dyDescent="0.35">
      <c r="A1207" s="56" t="s">
        <v>2858</v>
      </c>
      <c r="B1207" s="56" t="s">
        <v>4816</v>
      </c>
      <c r="C1207" s="56" t="s">
        <v>4817</v>
      </c>
      <c r="D1207" s="39">
        <v>1862.54</v>
      </c>
      <c r="E1207" s="56" t="s">
        <v>4818</v>
      </c>
      <c r="F1207" s="55" t="s">
        <v>4819</v>
      </c>
      <c r="G1207" s="5">
        <f>IF(Estimation!$B$18="",0,IF(ISNUMBER(SEARCH(LOWER(Estimation!$B$18),F1207)),1,0))</f>
        <v>0</v>
      </c>
      <c r="H1207" s="5" t="str">
        <f>IF(G1207=1,SUM($G$4:G1207),"")</f>
        <v/>
      </c>
    </row>
    <row r="1208" spans="1:8" x14ac:dyDescent="0.35">
      <c r="A1208" s="56" t="s">
        <v>2858</v>
      </c>
      <c r="B1208" s="56" t="s">
        <v>4820</v>
      </c>
      <c r="C1208" s="56" t="s">
        <v>4821</v>
      </c>
      <c r="D1208" s="39">
        <v>538.70000000000005</v>
      </c>
      <c r="E1208" s="56" t="s">
        <v>4822</v>
      </c>
      <c r="F1208" s="55" t="s">
        <v>4823</v>
      </c>
      <c r="G1208" s="5">
        <f>IF(Estimation!$B$18="",0,IF(ISNUMBER(SEARCH(LOWER(Estimation!$B$18),F1208)),1,0))</f>
        <v>0</v>
      </c>
      <c r="H1208" s="5" t="str">
        <f>IF(G1208=1,SUM($G$4:G1208),"")</f>
        <v/>
      </c>
    </row>
    <row r="1209" spans="1:8" x14ac:dyDescent="0.35">
      <c r="A1209" s="56" t="s">
        <v>2858</v>
      </c>
      <c r="B1209" s="56" t="s">
        <v>4824</v>
      </c>
      <c r="C1209" s="56" t="s">
        <v>4825</v>
      </c>
      <c r="D1209" s="39">
        <v>137.44999999999999</v>
      </c>
      <c r="E1209" s="56" t="s">
        <v>4826</v>
      </c>
      <c r="F1209" s="55" t="s">
        <v>4827</v>
      </c>
      <c r="G1209" s="5">
        <f>IF(Estimation!$B$18="",0,IF(ISNUMBER(SEARCH(LOWER(Estimation!$B$18),F1209)),1,0))</f>
        <v>0</v>
      </c>
      <c r="H1209" s="5" t="str">
        <f>IF(G1209=1,SUM($G$4:G1209),"")</f>
        <v/>
      </c>
    </row>
    <row r="1210" spans="1:8" x14ac:dyDescent="0.35">
      <c r="A1210" s="56" t="s">
        <v>2858</v>
      </c>
      <c r="B1210" s="56" t="s">
        <v>4828</v>
      </c>
      <c r="C1210" s="56" t="s">
        <v>4829</v>
      </c>
      <c r="D1210" s="39">
        <v>860.49</v>
      </c>
      <c r="E1210" s="56" t="s">
        <v>4830</v>
      </c>
      <c r="F1210" s="55" t="s">
        <v>4831</v>
      </c>
      <c r="G1210" s="5">
        <f>IF(Estimation!$B$18="",0,IF(ISNUMBER(SEARCH(LOWER(Estimation!$B$18),F1210)),1,0))</f>
        <v>0</v>
      </c>
      <c r="H1210" s="5" t="str">
        <f>IF(G1210=1,SUM($G$4:G1210),"")</f>
        <v/>
      </c>
    </row>
    <row r="1211" spans="1:8" x14ac:dyDescent="0.35">
      <c r="A1211" s="56" t="s">
        <v>2858</v>
      </c>
      <c r="B1211" s="56" t="s">
        <v>4832</v>
      </c>
      <c r="C1211" s="56" t="s">
        <v>4833</v>
      </c>
      <c r="D1211" s="39">
        <v>1257.22</v>
      </c>
      <c r="E1211" s="56" t="s">
        <v>4834</v>
      </c>
      <c r="F1211" s="55" t="s">
        <v>4835</v>
      </c>
      <c r="G1211" s="5">
        <f>IF(Estimation!$B$18="",0,IF(ISNUMBER(SEARCH(LOWER(Estimation!$B$18),F1211)),1,0))</f>
        <v>0</v>
      </c>
      <c r="H1211" s="5" t="str">
        <f>IF(G1211=1,SUM($G$4:G1211),"")</f>
        <v/>
      </c>
    </row>
    <row r="1212" spans="1:8" x14ac:dyDescent="0.35">
      <c r="A1212" s="56" t="s">
        <v>2858</v>
      </c>
      <c r="B1212" s="56" t="s">
        <v>4836</v>
      </c>
      <c r="C1212" s="56" t="s">
        <v>4837</v>
      </c>
      <c r="D1212" s="39">
        <v>302.7</v>
      </c>
      <c r="E1212" s="56" t="s">
        <v>4838</v>
      </c>
      <c r="F1212" s="55" t="s">
        <v>4839</v>
      </c>
      <c r="G1212" s="5">
        <f>IF(Estimation!$B$18="",0,IF(ISNUMBER(SEARCH(LOWER(Estimation!$B$18),F1212)),1,0))</f>
        <v>0</v>
      </c>
      <c r="H1212" s="5" t="str">
        <f>IF(G1212=1,SUM($G$4:G1212),"")</f>
        <v/>
      </c>
    </row>
    <row r="1213" spans="1:8" x14ac:dyDescent="0.35">
      <c r="A1213" s="56" t="s">
        <v>2858</v>
      </c>
      <c r="B1213" s="56" t="s">
        <v>4840</v>
      </c>
      <c r="C1213" s="56" t="s">
        <v>4841</v>
      </c>
      <c r="D1213" s="39">
        <v>314.45999999999998</v>
      </c>
      <c r="E1213" s="56" t="s">
        <v>4842</v>
      </c>
      <c r="F1213" s="55" t="s">
        <v>4843</v>
      </c>
      <c r="G1213" s="5">
        <f>IF(Estimation!$B$18="",0,IF(ISNUMBER(SEARCH(LOWER(Estimation!$B$18),F1213)),1,0))</f>
        <v>0</v>
      </c>
      <c r="H1213" s="5" t="str">
        <f>IF(G1213=1,SUM($G$4:G1213),"")</f>
        <v/>
      </c>
    </row>
    <row r="1214" spans="1:8" x14ac:dyDescent="0.35">
      <c r="A1214" s="56" t="s">
        <v>2858</v>
      </c>
      <c r="B1214" s="56" t="s">
        <v>4844</v>
      </c>
      <c r="C1214" s="56" t="s">
        <v>4845</v>
      </c>
      <c r="D1214" s="39">
        <v>189.98</v>
      </c>
      <c r="E1214" s="56" t="s">
        <v>4846</v>
      </c>
      <c r="F1214" s="55" t="s">
        <v>4847</v>
      </c>
      <c r="G1214" s="5">
        <f>IF(Estimation!$B$18="",0,IF(ISNUMBER(SEARCH(LOWER(Estimation!$B$18),F1214)),1,0))</f>
        <v>0</v>
      </c>
      <c r="H1214" s="5" t="str">
        <f>IF(G1214=1,SUM($G$4:G1214),"")</f>
        <v/>
      </c>
    </row>
    <row r="1215" spans="1:8" x14ac:dyDescent="0.35">
      <c r="A1215" s="56" t="s">
        <v>2858</v>
      </c>
      <c r="B1215" s="56" t="s">
        <v>4848</v>
      </c>
      <c r="C1215" s="56" t="s">
        <v>4849</v>
      </c>
      <c r="D1215" s="39">
        <v>145.13</v>
      </c>
      <c r="E1215" s="56" t="s">
        <v>4850</v>
      </c>
      <c r="F1215" s="55" t="s">
        <v>4851</v>
      </c>
      <c r="G1215" s="5">
        <f>IF(Estimation!$B$18="",0,IF(ISNUMBER(SEARCH(LOWER(Estimation!$B$18),F1215)),1,0))</f>
        <v>0</v>
      </c>
      <c r="H1215" s="5" t="str">
        <f>IF(G1215=1,SUM($G$4:G1215),"")</f>
        <v/>
      </c>
    </row>
    <row r="1216" spans="1:8" x14ac:dyDescent="0.35">
      <c r="A1216" s="56" t="s">
        <v>2858</v>
      </c>
      <c r="B1216" s="56" t="s">
        <v>735</v>
      </c>
      <c r="C1216" s="56" t="s">
        <v>4852</v>
      </c>
      <c r="D1216" s="39">
        <v>152.38999999999999</v>
      </c>
      <c r="E1216" s="56" t="s">
        <v>4853</v>
      </c>
      <c r="F1216" s="55" t="s">
        <v>4854</v>
      </c>
      <c r="G1216" s="5">
        <f>IF(Estimation!$B$18="",0,IF(ISNUMBER(SEARCH(LOWER(Estimation!$B$18),F1216)),1,0))</f>
        <v>0</v>
      </c>
      <c r="H1216" s="5" t="str">
        <f>IF(G1216=1,SUM($G$4:G1216),"")</f>
        <v/>
      </c>
    </row>
    <row r="1217" spans="1:8" x14ac:dyDescent="0.35">
      <c r="A1217" s="56" t="s">
        <v>2858</v>
      </c>
      <c r="B1217" s="56" t="s">
        <v>4855</v>
      </c>
      <c r="C1217" s="56" t="s">
        <v>4856</v>
      </c>
      <c r="D1217" s="39">
        <v>22.36</v>
      </c>
      <c r="E1217" s="56" t="s">
        <v>4857</v>
      </c>
      <c r="F1217" s="55" t="s">
        <v>4858</v>
      </c>
      <c r="G1217" s="5">
        <f>IF(Estimation!$B$18="",0,IF(ISNUMBER(SEARCH(LOWER(Estimation!$B$18),F1217)),1,0))</f>
        <v>0</v>
      </c>
      <c r="H1217" s="5" t="str">
        <f>IF(G1217=1,SUM($G$4:G1217),"")</f>
        <v/>
      </c>
    </row>
    <row r="1218" spans="1:8" x14ac:dyDescent="0.35">
      <c r="A1218" s="56" t="s">
        <v>2858</v>
      </c>
      <c r="B1218" s="56" t="s">
        <v>731</v>
      </c>
      <c r="C1218" s="56" t="s">
        <v>4859</v>
      </c>
      <c r="D1218" s="39">
        <v>127.49</v>
      </c>
      <c r="E1218" s="56" t="s">
        <v>4860</v>
      </c>
      <c r="F1218" s="55" t="s">
        <v>4861</v>
      </c>
      <c r="G1218" s="5">
        <f>IF(Estimation!$B$18="",0,IF(ISNUMBER(SEARCH(LOWER(Estimation!$B$18),F1218)),1,0))</f>
        <v>0</v>
      </c>
      <c r="H1218" s="5" t="str">
        <f>IF(G1218=1,SUM($G$4:G1218),"")</f>
        <v/>
      </c>
    </row>
    <row r="1219" spans="1:8" x14ac:dyDescent="0.35">
      <c r="A1219" s="56" t="s">
        <v>2858</v>
      </c>
      <c r="B1219" s="56" t="s">
        <v>4862</v>
      </c>
      <c r="C1219" s="56" t="s">
        <v>4863</v>
      </c>
      <c r="D1219" s="39">
        <v>2303.6999999999998</v>
      </c>
      <c r="E1219" s="56" t="s">
        <v>4864</v>
      </c>
      <c r="F1219" s="55" t="s">
        <v>4865</v>
      </c>
      <c r="G1219" s="5">
        <f>IF(Estimation!$B$18="",0,IF(ISNUMBER(SEARCH(LOWER(Estimation!$B$18),F1219)),1,0))</f>
        <v>0</v>
      </c>
      <c r="H1219" s="5" t="str">
        <f>IF(G1219=1,SUM($G$4:G1219),"")</f>
        <v/>
      </c>
    </row>
    <row r="1220" spans="1:8" x14ac:dyDescent="0.35">
      <c r="A1220" s="56" t="s">
        <v>2858</v>
      </c>
      <c r="B1220" s="56" t="s">
        <v>4866</v>
      </c>
      <c r="C1220" s="56" t="s">
        <v>4867</v>
      </c>
      <c r="D1220" s="39">
        <v>161.26</v>
      </c>
      <c r="E1220" s="56" t="s">
        <v>4868</v>
      </c>
      <c r="F1220" s="55" t="s">
        <v>4869</v>
      </c>
      <c r="G1220" s="5">
        <f>IF(Estimation!$B$18="",0,IF(ISNUMBER(SEARCH(LOWER(Estimation!$B$18),F1220)),1,0))</f>
        <v>0</v>
      </c>
      <c r="H1220" s="5" t="str">
        <f>IF(G1220=1,SUM($G$4:G1220),"")</f>
        <v/>
      </c>
    </row>
    <row r="1221" spans="1:8" x14ac:dyDescent="0.35">
      <c r="A1221" s="56" t="s">
        <v>2858</v>
      </c>
      <c r="B1221" s="56" t="s">
        <v>4870</v>
      </c>
      <c r="C1221" s="56" t="s">
        <v>4871</v>
      </c>
      <c r="D1221" s="39">
        <v>940.83</v>
      </c>
      <c r="E1221" s="56" t="s">
        <v>4872</v>
      </c>
      <c r="F1221" s="55" t="s">
        <v>4873</v>
      </c>
      <c r="G1221" s="5">
        <f>IF(Estimation!$B$18="",0,IF(ISNUMBER(SEARCH(LOWER(Estimation!$B$18),F1221)),1,0))</f>
        <v>0</v>
      </c>
      <c r="H1221" s="5" t="str">
        <f>IF(G1221=1,SUM($G$4:G1221),"")</f>
        <v/>
      </c>
    </row>
    <row r="1222" spans="1:8" x14ac:dyDescent="0.35">
      <c r="A1222" s="56" t="s">
        <v>2858</v>
      </c>
      <c r="B1222" s="56" t="s">
        <v>4874</v>
      </c>
      <c r="C1222" s="56" t="s">
        <v>4875</v>
      </c>
      <c r="D1222" s="39">
        <v>65.02</v>
      </c>
      <c r="E1222" s="56" t="s">
        <v>4876</v>
      </c>
      <c r="F1222" s="55" t="s">
        <v>4877</v>
      </c>
      <c r="G1222" s="5">
        <f>IF(Estimation!$B$18="",0,IF(ISNUMBER(SEARCH(LOWER(Estimation!$B$18),F1222)),1,0))</f>
        <v>0</v>
      </c>
      <c r="H1222" s="5" t="str">
        <f>IF(G1222=1,SUM($G$4:G1222),"")</f>
        <v/>
      </c>
    </row>
    <row r="1223" spans="1:8" x14ac:dyDescent="0.35">
      <c r="A1223" s="56" t="s">
        <v>2858</v>
      </c>
      <c r="B1223" s="56" t="s">
        <v>4878</v>
      </c>
      <c r="C1223" s="56" t="s">
        <v>4879</v>
      </c>
      <c r="D1223" s="39">
        <v>126.99</v>
      </c>
      <c r="E1223" s="56" t="s">
        <v>4880</v>
      </c>
      <c r="F1223" s="55" t="s">
        <v>4881</v>
      </c>
      <c r="G1223" s="5">
        <f>IF(Estimation!$B$18="",0,IF(ISNUMBER(SEARCH(LOWER(Estimation!$B$18),F1223)),1,0))</f>
        <v>0</v>
      </c>
      <c r="H1223" s="5" t="str">
        <f>IF(G1223=1,SUM($G$4:G1223),"")</f>
        <v/>
      </c>
    </row>
    <row r="1224" spans="1:8" x14ac:dyDescent="0.35">
      <c r="A1224" s="56" t="s">
        <v>2858</v>
      </c>
      <c r="B1224" s="56" t="s">
        <v>4882</v>
      </c>
      <c r="C1224" s="56" t="s">
        <v>4883</v>
      </c>
      <c r="D1224" s="39">
        <v>29.46</v>
      </c>
      <c r="E1224" s="56" t="s">
        <v>4884</v>
      </c>
      <c r="F1224" s="55" t="s">
        <v>4885</v>
      </c>
      <c r="G1224" s="5">
        <f>IF(Estimation!$B$18="",0,IF(ISNUMBER(SEARCH(LOWER(Estimation!$B$18),F1224)),1,0))</f>
        <v>0</v>
      </c>
      <c r="H1224" s="5" t="str">
        <f>IF(G1224=1,SUM($G$4:G1224),"")</f>
        <v/>
      </c>
    </row>
    <row r="1225" spans="1:8" x14ac:dyDescent="0.35">
      <c r="A1225" s="56" t="s">
        <v>2858</v>
      </c>
      <c r="B1225" s="56" t="s">
        <v>4886</v>
      </c>
      <c r="C1225" s="56" t="s">
        <v>4887</v>
      </c>
      <c r="D1225" s="39">
        <v>17.420000000000002</v>
      </c>
      <c r="E1225" s="56" t="s">
        <v>4888</v>
      </c>
      <c r="F1225" s="55" t="s">
        <v>4889</v>
      </c>
      <c r="G1225" s="5">
        <f>IF(Estimation!$B$18="",0,IF(ISNUMBER(SEARCH(LOWER(Estimation!$B$18),F1225)),1,0))</f>
        <v>0</v>
      </c>
      <c r="H1225" s="5" t="str">
        <f>IF(G1225=1,SUM($G$4:G1225),"")</f>
        <v/>
      </c>
    </row>
    <row r="1226" spans="1:8" x14ac:dyDescent="0.35">
      <c r="A1226" s="56" t="s">
        <v>2858</v>
      </c>
      <c r="B1226" s="56" t="s">
        <v>4890</v>
      </c>
      <c r="C1226" s="56" t="s">
        <v>4891</v>
      </c>
      <c r="D1226" s="39">
        <v>29.46</v>
      </c>
      <c r="E1226" s="56" t="s">
        <v>4892</v>
      </c>
      <c r="F1226" s="55" t="s">
        <v>4893</v>
      </c>
      <c r="G1226" s="5">
        <f>IF(Estimation!$B$18="",0,IF(ISNUMBER(SEARCH(LOWER(Estimation!$B$18),F1226)),1,0))</f>
        <v>0</v>
      </c>
      <c r="H1226" s="5" t="str">
        <f>IF(G1226=1,SUM($G$4:G1226),"")</f>
        <v/>
      </c>
    </row>
    <row r="1227" spans="1:8" x14ac:dyDescent="0.35">
      <c r="A1227" s="56" t="s">
        <v>2858</v>
      </c>
      <c r="B1227" s="56" t="s">
        <v>4894</v>
      </c>
      <c r="C1227" s="56" t="s">
        <v>4895</v>
      </c>
      <c r="D1227" s="39">
        <v>17.420000000000002</v>
      </c>
      <c r="E1227" s="56" t="s">
        <v>4896</v>
      </c>
      <c r="F1227" s="55" t="s">
        <v>4897</v>
      </c>
      <c r="G1227" s="5">
        <f>IF(Estimation!$B$18="",0,IF(ISNUMBER(SEARCH(LOWER(Estimation!$B$18),F1227)),1,0))</f>
        <v>0</v>
      </c>
      <c r="H1227" s="5" t="str">
        <f>IF(G1227=1,SUM($G$4:G1227),"")</f>
        <v/>
      </c>
    </row>
    <row r="1228" spans="1:8" x14ac:dyDescent="0.35">
      <c r="A1228" s="56" t="s">
        <v>2858</v>
      </c>
      <c r="B1228" s="56" t="s">
        <v>4898</v>
      </c>
      <c r="C1228" s="56" t="s">
        <v>4899</v>
      </c>
      <c r="D1228" s="39">
        <v>17.420000000000002</v>
      </c>
      <c r="E1228" s="56" t="s">
        <v>4900</v>
      </c>
      <c r="F1228" s="55" t="s">
        <v>4901</v>
      </c>
      <c r="G1228" s="5">
        <f>IF(Estimation!$B$18="",0,IF(ISNUMBER(SEARCH(LOWER(Estimation!$B$18),F1228)),1,0))</f>
        <v>0</v>
      </c>
      <c r="H1228" s="5" t="str">
        <f>IF(G1228=1,SUM($G$4:G1228),"")</f>
        <v/>
      </c>
    </row>
    <row r="1229" spans="1:8" x14ac:dyDescent="0.35">
      <c r="A1229" s="56" t="s">
        <v>2858</v>
      </c>
      <c r="B1229" s="56" t="s">
        <v>4902</v>
      </c>
      <c r="C1229" s="56" t="s">
        <v>4903</v>
      </c>
      <c r="D1229" s="39">
        <v>17.420000000000002</v>
      </c>
      <c r="E1229" s="56" t="s">
        <v>4904</v>
      </c>
      <c r="F1229" s="55" t="s">
        <v>4905</v>
      </c>
      <c r="G1229" s="5">
        <f>IF(Estimation!$B$18="",0,IF(ISNUMBER(SEARCH(LOWER(Estimation!$B$18),F1229)),1,0))</f>
        <v>0</v>
      </c>
      <c r="H1229" s="5" t="str">
        <f>IF(G1229=1,SUM($G$4:G1229),"")</f>
        <v/>
      </c>
    </row>
    <row r="1230" spans="1:8" x14ac:dyDescent="0.35">
      <c r="A1230" s="56" t="s">
        <v>4906</v>
      </c>
      <c r="B1230" s="56" t="s">
        <v>4907</v>
      </c>
      <c r="C1230" s="56" t="s">
        <v>4908</v>
      </c>
      <c r="D1230" s="39">
        <v>55</v>
      </c>
      <c r="E1230" s="56" t="s">
        <v>4909</v>
      </c>
      <c r="F1230" s="55" t="s">
        <v>4910</v>
      </c>
      <c r="G1230" s="5">
        <f>IF(Estimation!$B$18="",0,IF(ISNUMBER(SEARCH(LOWER(Estimation!$B$18),F1230)),1,0))</f>
        <v>0</v>
      </c>
      <c r="H1230" s="5" t="str">
        <f>IF(G1230=1,SUM($G$4:G1230),"")</f>
        <v/>
      </c>
    </row>
    <row r="1231" spans="1:8" x14ac:dyDescent="0.35">
      <c r="A1231" s="56" t="s">
        <v>4906</v>
      </c>
      <c r="B1231" s="56" t="s">
        <v>4911</v>
      </c>
      <c r="C1231" s="56" t="s">
        <v>4912</v>
      </c>
      <c r="D1231" s="39">
        <v>55</v>
      </c>
      <c r="E1231" s="56" t="s">
        <v>4913</v>
      </c>
      <c r="F1231" s="55" t="s">
        <v>4914</v>
      </c>
      <c r="G1231" s="5">
        <f>IF(Estimation!$B$18="",0,IF(ISNUMBER(SEARCH(LOWER(Estimation!$B$18),F1231)),1,0))</f>
        <v>0</v>
      </c>
      <c r="H1231" s="5" t="str">
        <f>IF(G1231=1,SUM($G$4:G1231),"")</f>
        <v/>
      </c>
    </row>
    <row r="1232" spans="1:8" x14ac:dyDescent="0.35">
      <c r="A1232" s="56" t="s">
        <v>4906</v>
      </c>
      <c r="B1232" s="56" t="s">
        <v>4915</v>
      </c>
      <c r="C1232" s="56" t="s">
        <v>4916</v>
      </c>
      <c r="D1232" s="39">
        <v>110</v>
      </c>
      <c r="E1232" s="56" t="s">
        <v>4917</v>
      </c>
      <c r="F1232" s="55" t="s">
        <v>4918</v>
      </c>
      <c r="G1232" s="5">
        <f>IF(Estimation!$B$18="",0,IF(ISNUMBER(SEARCH(LOWER(Estimation!$B$18),F1232)),1,0))</f>
        <v>0</v>
      </c>
      <c r="H1232" s="5" t="str">
        <f>IF(G1232=1,SUM($G$4:G1232),"")</f>
        <v/>
      </c>
    </row>
    <row r="1233" spans="1:8" x14ac:dyDescent="0.35">
      <c r="A1233" s="56" t="s">
        <v>4906</v>
      </c>
      <c r="B1233" s="56" t="s">
        <v>4919</v>
      </c>
      <c r="C1233" s="56" t="s">
        <v>4920</v>
      </c>
      <c r="D1233" s="39">
        <v>110</v>
      </c>
      <c r="E1233" s="56" t="s">
        <v>4921</v>
      </c>
      <c r="F1233" s="55" t="s">
        <v>4922</v>
      </c>
      <c r="G1233" s="5">
        <f>IF(Estimation!$B$18="",0,IF(ISNUMBER(SEARCH(LOWER(Estimation!$B$18),F1233)),1,0))</f>
        <v>0</v>
      </c>
      <c r="H1233" s="5" t="str">
        <f>IF(G1233=1,SUM($G$4:G1233),"")</f>
        <v/>
      </c>
    </row>
    <row r="1234" spans="1:8" x14ac:dyDescent="0.35">
      <c r="A1234" s="56" t="s">
        <v>4906</v>
      </c>
      <c r="B1234" s="56" t="s">
        <v>4923</v>
      </c>
      <c r="C1234" s="56" t="s">
        <v>4924</v>
      </c>
      <c r="D1234" s="39">
        <v>130</v>
      </c>
      <c r="E1234" s="56" t="s">
        <v>4925</v>
      </c>
      <c r="F1234" s="55" t="s">
        <v>4926</v>
      </c>
      <c r="G1234" s="5">
        <f>IF(Estimation!$B$18="",0,IF(ISNUMBER(SEARCH(LOWER(Estimation!$B$18),F1234)),1,0))</f>
        <v>0</v>
      </c>
      <c r="H1234" s="5" t="str">
        <f>IF(G1234=1,SUM($G$4:G1234),"")</f>
        <v/>
      </c>
    </row>
    <row r="1235" spans="1:8" x14ac:dyDescent="0.35">
      <c r="A1235" s="56" t="s">
        <v>4906</v>
      </c>
      <c r="B1235" s="56" t="s">
        <v>4927</v>
      </c>
      <c r="C1235" s="56" t="s">
        <v>4928</v>
      </c>
      <c r="D1235" s="39">
        <v>55</v>
      </c>
      <c r="E1235" s="56" t="s">
        <v>4929</v>
      </c>
      <c r="F1235" s="55" t="s">
        <v>4930</v>
      </c>
      <c r="G1235" s="5">
        <f>IF(Estimation!$B$18="",0,IF(ISNUMBER(SEARCH(LOWER(Estimation!$B$18),F1235)),1,0))</f>
        <v>0</v>
      </c>
      <c r="H1235" s="5" t="str">
        <f>IF(G1235=1,SUM($G$4:G1235),"")</f>
        <v/>
      </c>
    </row>
    <row r="1236" spans="1:8" x14ac:dyDescent="0.35">
      <c r="A1236" s="56" t="s">
        <v>4906</v>
      </c>
      <c r="B1236" s="56" t="s">
        <v>4931</v>
      </c>
      <c r="C1236" s="56" t="s">
        <v>4932</v>
      </c>
      <c r="D1236" s="39">
        <v>55</v>
      </c>
      <c r="E1236" s="56" t="s">
        <v>4933</v>
      </c>
      <c r="F1236" s="55" t="s">
        <v>4934</v>
      </c>
      <c r="G1236" s="5">
        <f>IF(Estimation!$B$18="",0,IF(ISNUMBER(SEARCH(LOWER(Estimation!$B$18),F1236)),1,0))</f>
        <v>0</v>
      </c>
      <c r="H1236" s="5" t="str">
        <f>IF(G1236=1,SUM($G$4:G1236),"")</f>
        <v/>
      </c>
    </row>
    <row r="1237" spans="1:8" x14ac:dyDescent="0.35">
      <c r="A1237" s="56" t="s">
        <v>4906</v>
      </c>
      <c r="B1237" s="56" t="s">
        <v>4935</v>
      </c>
      <c r="C1237" s="56" t="s">
        <v>4936</v>
      </c>
      <c r="D1237" s="39">
        <v>55</v>
      </c>
      <c r="E1237" s="56" t="s">
        <v>4937</v>
      </c>
      <c r="F1237" s="55" t="s">
        <v>4938</v>
      </c>
      <c r="G1237" s="5">
        <f>IF(Estimation!$B$18="",0,IF(ISNUMBER(SEARCH(LOWER(Estimation!$B$18),F1237)),1,0))</f>
        <v>0</v>
      </c>
      <c r="H1237" s="5" t="str">
        <f>IF(G1237=1,SUM($G$4:G1237),"")</f>
        <v/>
      </c>
    </row>
    <row r="1238" spans="1:8" x14ac:dyDescent="0.35">
      <c r="A1238" s="56" t="s">
        <v>4906</v>
      </c>
      <c r="B1238" s="56" t="s">
        <v>4939</v>
      </c>
      <c r="C1238" s="56" t="s">
        <v>4940</v>
      </c>
      <c r="D1238" s="39">
        <v>55</v>
      </c>
      <c r="E1238" s="56" t="s">
        <v>4941</v>
      </c>
      <c r="F1238" s="55" t="s">
        <v>4942</v>
      </c>
      <c r="G1238" s="5">
        <f>IF(Estimation!$B$18="",0,IF(ISNUMBER(SEARCH(LOWER(Estimation!$B$18),F1238)),1,0))</f>
        <v>0</v>
      </c>
      <c r="H1238" s="5" t="str">
        <f>IF(G1238=1,SUM($G$4:G1238),"")</f>
        <v/>
      </c>
    </row>
    <row r="1239" spans="1:8" x14ac:dyDescent="0.35">
      <c r="A1239" s="56" t="s">
        <v>4906</v>
      </c>
      <c r="B1239" s="56" t="s">
        <v>4943</v>
      </c>
      <c r="C1239" s="56" t="s">
        <v>4944</v>
      </c>
      <c r="D1239" s="39">
        <v>90</v>
      </c>
      <c r="E1239" s="56" t="s">
        <v>4945</v>
      </c>
      <c r="F1239" s="55" t="s">
        <v>4946</v>
      </c>
      <c r="G1239" s="5">
        <f>IF(Estimation!$B$18="",0,IF(ISNUMBER(SEARCH(LOWER(Estimation!$B$18),F1239)),1,0))</f>
        <v>0</v>
      </c>
      <c r="H1239" s="5" t="str">
        <f>IF(G1239=1,SUM($G$4:G1239),"")</f>
        <v/>
      </c>
    </row>
    <row r="1240" spans="1:8" x14ac:dyDescent="0.35">
      <c r="A1240" s="56" t="s">
        <v>4906</v>
      </c>
      <c r="B1240" s="56" t="s">
        <v>4947</v>
      </c>
      <c r="C1240" s="56" t="s">
        <v>4948</v>
      </c>
      <c r="D1240" s="39">
        <v>80</v>
      </c>
      <c r="E1240" s="56" t="s">
        <v>4949</v>
      </c>
      <c r="F1240" s="55" t="s">
        <v>4950</v>
      </c>
      <c r="G1240" s="5">
        <f>IF(Estimation!$B$18="",0,IF(ISNUMBER(SEARCH(LOWER(Estimation!$B$18),F1240)),1,0))</f>
        <v>0</v>
      </c>
      <c r="H1240" s="5" t="str">
        <f>IF(G1240=1,SUM($G$4:G1240),"")</f>
        <v/>
      </c>
    </row>
    <row r="1241" spans="1:8" x14ac:dyDescent="0.35">
      <c r="A1241" s="56" t="s">
        <v>4906</v>
      </c>
      <c r="B1241" s="56" t="s">
        <v>4951</v>
      </c>
      <c r="C1241" s="56" t="s">
        <v>4952</v>
      </c>
      <c r="D1241" s="39">
        <v>80</v>
      </c>
      <c r="E1241" s="56" t="s">
        <v>4953</v>
      </c>
      <c r="F1241" s="55" t="s">
        <v>4954</v>
      </c>
      <c r="G1241" s="5">
        <f>IF(Estimation!$B$18="",0,IF(ISNUMBER(SEARCH(LOWER(Estimation!$B$18),F1241)),1,0))</f>
        <v>0</v>
      </c>
      <c r="H1241" s="5" t="str">
        <f>IF(G1241=1,SUM($G$4:G1241),"")</f>
        <v/>
      </c>
    </row>
    <row r="1242" spans="1:8" x14ac:dyDescent="0.35">
      <c r="A1242" s="56" t="s">
        <v>4906</v>
      </c>
      <c r="B1242" s="56" t="s">
        <v>4955</v>
      </c>
      <c r="C1242" s="56" t="s">
        <v>4956</v>
      </c>
      <c r="D1242" s="39">
        <v>90</v>
      </c>
      <c r="E1242" s="56" t="s">
        <v>4957</v>
      </c>
      <c r="F1242" s="55" t="s">
        <v>4958</v>
      </c>
      <c r="G1242" s="5">
        <f>IF(Estimation!$B$18="",0,IF(ISNUMBER(SEARCH(LOWER(Estimation!$B$18),F1242)),1,0))</f>
        <v>0</v>
      </c>
      <c r="H1242" s="5" t="str">
        <f>IF(G1242=1,SUM($G$4:G1242),"")</f>
        <v/>
      </c>
    </row>
    <row r="1243" spans="1:8" x14ac:dyDescent="0.35">
      <c r="A1243" s="56" t="s">
        <v>4906</v>
      </c>
      <c r="B1243" s="56" t="s">
        <v>4959</v>
      </c>
      <c r="C1243" s="56" t="s">
        <v>4960</v>
      </c>
      <c r="D1243" s="39">
        <v>105</v>
      </c>
      <c r="E1243" s="56" t="s">
        <v>4961</v>
      </c>
      <c r="F1243" s="55" t="s">
        <v>4962</v>
      </c>
      <c r="G1243" s="5">
        <f>IF(Estimation!$B$18="",0,IF(ISNUMBER(SEARCH(LOWER(Estimation!$B$18),F1243)),1,0))</f>
        <v>0</v>
      </c>
      <c r="H1243" s="5" t="str">
        <f>IF(G1243=1,SUM($G$4:G1243),"")</f>
        <v/>
      </c>
    </row>
    <row r="1244" spans="1:8" x14ac:dyDescent="0.35">
      <c r="A1244" s="56" t="s">
        <v>4906</v>
      </c>
      <c r="B1244" s="56" t="s">
        <v>4963</v>
      </c>
      <c r="C1244" s="56" t="s">
        <v>4964</v>
      </c>
      <c r="D1244" s="39">
        <v>140</v>
      </c>
      <c r="E1244" s="56" t="s">
        <v>4965</v>
      </c>
      <c r="F1244" s="55" t="s">
        <v>4966</v>
      </c>
      <c r="G1244" s="5">
        <f>IF(Estimation!$B$18="",0,IF(ISNUMBER(SEARCH(LOWER(Estimation!$B$18),F1244)),1,0))</f>
        <v>0</v>
      </c>
      <c r="H1244" s="5" t="str">
        <f>IF(G1244=1,SUM($G$4:G1244),"")</f>
        <v/>
      </c>
    </row>
    <row r="1245" spans="1:8" x14ac:dyDescent="0.35">
      <c r="A1245" s="56" t="s">
        <v>4906</v>
      </c>
      <c r="B1245" s="56" t="s">
        <v>4967</v>
      </c>
      <c r="C1245" s="56" t="s">
        <v>4968</v>
      </c>
      <c r="D1245" s="39">
        <v>130</v>
      </c>
      <c r="E1245" s="56" t="s">
        <v>4969</v>
      </c>
      <c r="F1245" s="55" t="s">
        <v>4970</v>
      </c>
      <c r="G1245" s="5">
        <f>IF(Estimation!$B$18="",0,IF(ISNUMBER(SEARCH(LOWER(Estimation!$B$18),F1245)),1,0))</f>
        <v>0</v>
      </c>
      <c r="H1245" s="5" t="str">
        <f>IF(G1245=1,SUM($G$4:G1245),"")</f>
        <v/>
      </c>
    </row>
    <row r="1246" spans="1:8" x14ac:dyDescent="0.35">
      <c r="A1246" s="56" t="s">
        <v>4906</v>
      </c>
      <c r="B1246" s="56" t="s">
        <v>4971</v>
      </c>
      <c r="C1246" s="56" t="s">
        <v>4972</v>
      </c>
      <c r="D1246" s="39">
        <v>200</v>
      </c>
      <c r="E1246" s="56" t="s">
        <v>4973</v>
      </c>
      <c r="F1246" s="55" t="s">
        <v>4974</v>
      </c>
      <c r="G1246" s="5">
        <f>IF(Estimation!$B$18="",0,IF(ISNUMBER(SEARCH(LOWER(Estimation!$B$18),F1246)),1,0))</f>
        <v>0</v>
      </c>
      <c r="H1246" s="5" t="str">
        <f>IF(G1246=1,SUM($G$4:G1246),"")</f>
        <v/>
      </c>
    </row>
    <row r="1247" spans="1:8" x14ac:dyDescent="0.35">
      <c r="A1247" s="56" t="s">
        <v>4906</v>
      </c>
      <c r="B1247" s="56" t="s">
        <v>4975</v>
      </c>
      <c r="C1247" s="56" t="s">
        <v>4976</v>
      </c>
      <c r="D1247" s="39">
        <v>260</v>
      </c>
      <c r="E1247" s="56" t="s">
        <v>4977</v>
      </c>
      <c r="F1247" s="55" t="s">
        <v>4978</v>
      </c>
      <c r="G1247" s="5">
        <f>IF(Estimation!$B$18="",0,IF(ISNUMBER(SEARCH(LOWER(Estimation!$B$18),F1247)),1,0))</f>
        <v>0</v>
      </c>
      <c r="H1247" s="5" t="str">
        <f>IF(G1247=1,SUM($G$4:G1247),"")</f>
        <v/>
      </c>
    </row>
    <row r="1248" spans="1:8" x14ac:dyDescent="0.35">
      <c r="A1248" s="56" t="s">
        <v>4906</v>
      </c>
      <c r="B1248" s="56" t="s">
        <v>4979</v>
      </c>
      <c r="C1248" s="56" t="s">
        <v>4980</v>
      </c>
      <c r="D1248" s="39">
        <v>330</v>
      </c>
      <c r="E1248" s="56" t="s">
        <v>4981</v>
      </c>
      <c r="F1248" s="55" t="s">
        <v>4982</v>
      </c>
      <c r="G1248" s="5">
        <f>IF(Estimation!$B$18="",0,IF(ISNUMBER(SEARCH(LOWER(Estimation!$B$18),F1248)),1,0))</f>
        <v>0</v>
      </c>
      <c r="H1248" s="5" t="str">
        <f>IF(G1248=1,SUM($G$4:G1248),"")</f>
        <v/>
      </c>
    </row>
    <row r="1249" spans="1:8" x14ac:dyDescent="0.35">
      <c r="A1249" s="56" t="s">
        <v>4906</v>
      </c>
      <c r="B1249" s="56" t="s">
        <v>4983</v>
      </c>
      <c r="C1249" s="56" t="s">
        <v>4984</v>
      </c>
      <c r="D1249" s="39">
        <v>170</v>
      </c>
      <c r="E1249" s="56" t="s">
        <v>4985</v>
      </c>
      <c r="F1249" s="55" t="s">
        <v>4986</v>
      </c>
      <c r="G1249" s="5">
        <f>IF(Estimation!$B$18="",0,IF(ISNUMBER(SEARCH(LOWER(Estimation!$B$18),F1249)),1,0))</f>
        <v>0</v>
      </c>
      <c r="H1249" s="5" t="str">
        <f>IF(G1249=1,SUM($G$4:G1249),"")</f>
        <v/>
      </c>
    </row>
    <row r="1250" spans="1:8" x14ac:dyDescent="0.35">
      <c r="A1250" s="56" t="s">
        <v>4906</v>
      </c>
      <c r="B1250" s="56" t="s">
        <v>4987</v>
      </c>
      <c r="C1250" s="56" t="s">
        <v>4988</v>
      </c>
      <c r="D1250" s="39">
        <v>190</v>
      </c>
      <c r="E1250" s="56" t="s">
        <v>4989</v>
      </c>
      <c r="F1250" s="55" t="s">
        <v>4990</v>
      </c>
      <c r="G1250" s="5">
        <f>IF(Estimation!$B$18="",0,IF(ISNUMBER(SEARCH(LOWER(Estimation!$B$18),F1250)),1,0))</f>
        <v>0</v>
      </c>
      <c r="H1250" s="5" t="str">
        <f>IF(G1250=1,SUM($G$4:G1250),"")</f>
        <v/>
      </c>
    </row>
    <row r="1251" spans="1:8" x14ac:dyDescent="0.35">
      <c r="A1251" s="56" t="s">
        <v>4906</v>
      </c>
      <c r="B1251" s="56" t="s">
        <v>4991</v>
      </c>
      <c r="C1251" s="56" t="s">
        <v>4992</v>
      </c>
      <c r="D1251" s="39">
        <v>170</v>
      </c>
      <c r="E1251" s="56" t="s">
        <v>4993</v>
      </c>
      <c r="F1251" s="55" t="s">
        <v>4994</v>
      </c>
      <c r="G1251" s="5">
        <f>IF(Estimation!$B$18="",0,IF(ISNUMBER(SEARCH(LOWER(Estimation!$B$18),F1251)),1,0))</f>
        <v>0</v>
      </c>
      <c r="H1251" s="5" t="str">
        <f>IF(G1251=1,SUM($G$4:G1251),"")</f>
        <v/>
      </c>
    </row>
    <row r="1252" spans="1:8" x14ac:dyDescent="0.35">
      <c r="A1252" s="56" t="s">
        <v>4906</v>
      </c>
      <c r="B1252" s="56" t="s">
        <v>4995</v>
      </c>
      <c r="C1252" s="56" t="s">
        <v>4996</v>
      </c>
      <c r="D1252" s="39">
        <v>190</v>
      </c>
      <c r="E1252" s="56" t="s">
        <v>4997</v>
      </c>
      <c r="F1252" s="55" t="s">
        <v>4998</v>
      </c>
      <c r="G1252" s="5">
        <f>IF(Estimation!$B$18="",0,IF(ISNUMBER(SEARCH(LOWER(Estimation!$B$18),F1252)),1,0))</f>
        <v>0</v>
      </c>
      <c r="H1252" s="5" t="str">
        <f>IF(G1252=1,SUM($G$4:G1252),"")</f>
        <v/>
      </c>
    </row>
    <row r="1253" spans="1:8" x14ac:dyDescent="0.35">
      <c r="A1253" s="56" t="s">
        <v>4906</v>
      </c>
      <c r="B1253" s="56" t="s">
        <v>4999</v>
      </c>
      <c r="C1253" s="56" t="s">
        <v>5000</v>
      </c>
      <c r="D1253" s="39">
        <v>250</v>
      </c>
      <c r="E1253" s="56" t="s">
        <v>5001</v>
      </c>
      <c r="F1253" s="55" t="s">
        <v>5002</v>
      </c>
      <c r="G1253" s="5">
        <f>IF(Estimation!$B$18="",0,IF(ISNUMBER(SEARCH(LOWER(Estimation!$B$18),F1253)),1,0))</f>
        <v>0</v>
      </c>
      <c r="H1253" s="5" t="str">
        <f>IF(G1253=1,SUM($G$4:G1253),"")</f>
        <v/>
      </c>
    </row>
    <row r="1254" spans="1:8" x14ac:dyDescent="0.35">
      <c r="A1254" s="56" t="s">
        <v>4906</v>
      </c>
      <c r="B1254" s="56" t="s">
        <v>5003</v>
      </c>
      <c r="C1254" s="56" t="s">
        <v>5004</v>
      </c>
      <c r="D1254" s="39">
        <v>220</v>
      </c>
      <c r="E1254" s="56" t="s">
        <v>5005</v>
      </c>
      <c r="F1254" s="55" t="s">
        <v>5006</v>
      </c>
      <c r="G1254" s="5">
        <f>IF(Estimation!$B$18="",0,IF(ISNUMBER(SEARCH(LOWER(Estimation!$B$18),F1254)),1,0))</f>
        <v>0</v>
      </c>
      <c r="H1254" s="5" t="str">
        <f>IF(G1254=1,SUM($G$4:G1254),"")</f>
        <v/>
      </c>
    </row>
    <row r="1255" spans="1:8" x14ac:dyDescent="0.35">
      <c r="A1255" s="56" t="s">
        <v>4906</v>
      </c>
      <c r="B1255" s="56" t="s">
        <v>5007</v>
      </c>
      <c r="C1255" s="56" t="s">
        <v>5008</v>
      </c>
      <c r="D1255" s="39">
        <v>300</v>
      </c>
      <c r="E1255" s="56" t="s">
        <v>5009</v>
      </c>
      <c r="F1255" s="55" t="s">
        <v>5010</v>
      </c>
      <c r="G1255" s="5">
        <f>IF(Estimation!$B$18="",0,IF(ISNUMBER(SEARCH(LOWER(Estimation!$B$18),F1255)),1,0))</f>
        <v>0</v>
      </c>
      <c r="H1255" s="5" t="str">
        <f>IF(G1255=1,SUM($G$4:G1255),"")</f>
        <v/>
      </c>
    </row>
    <row r="1256" spans="1:8" x14ac:dyDescent="0.35">
      <c r="A1256" s="56" t="s">
        <v>4906</v>
      </c>
      <c r="B1256" s="56" t="s">
        <v>5011</v>
      </c>
      <c r="C1256" s="56" t="s">
        <v>5012</v>
      </c>
      <c r="D1256" s="39">
        <v>1300</v>
      </c>
      <c r="E1256" s="56" t="s">
        <v>5013</v>
      </c>
      <c r="F1256" s="55" t="s">
        <v>5014</v>
      </c>
      <c r="G1256" s="5">
        <f>IF(Estimation!$B$18="",0,IF(ISNUMBER(SEARCH(LOWER(Estimation!$B$18),F1256)),1,0))</f>
        <v>0</v>
      </c>
      <c r="H1256" s="5" t="str">
        <f>IF(G1256=1,SUM($G$4:G1256),"")</f>
        <v/>
      </c>
    </row>
    <row r="1257" spans="1:8" x14ac:dyDescent="0.35">
      <c r="A1257" s="56" t="s">
        <v>4906</v>
      </c>
      <c r="B1257" s="56" t="s">
        <v>5015</v>
      </c>
      <c r="C1257" s="56" t="s">
        <v>5016</v>
      </c>
      <c r="D1257" s="39">
        <v>190</v>
      </c>
      <c r="E1257" s="56" t="s">
        <v>5017</v>
      </c>
      <c r="F1257" s="55" t="s">
        <v>5018</v>
      </c>
      <c r="G1257" s="5">
        <f>IF(Estimation!$B$18="",0,IF(ISNUMBER(SEARCH(LOWER(Estimation!$B$18),F1257)),1,0))</f>
        <v>0</v>
      </c>
      <c r="H1257" s="5" t="str">
        <f>IF(G1257=1,SUM($G$4:G1257),"")</f>
        <v/>
      </c>
    </row>
    <row r="1258" spans="1:8" x14ac:dyDescent="0.35">
      <c r="A1258" s="56" t="s">
        <v>4906</v>
      </c>
      <c r="B1258" s="56" t="s">
        <v>5019</v>
      </c>
      <c r="C1258" s="56" t="s">
        <v>5020</v>
      </c>
      <c r="D1258" s="39">
        <v>220</v>
      </c>
      <c r="E1258" s="56" t="s">
        <v>5021</v>
      </c>
      <c r="F1258" s="55" t="s">
        <v>5022</v>
      </c>
      <c r="G1258" s="5">
        <f>IF(Estimation!$B$18="",0,IF(ISNUMBER(SEARCH(LOWER(Estimation!$B$18),F1258)),1,0))</f>
        <v>0</v>
      </c>
      <c r="H1258" s="5" t="str">
        <f>IF(G1258=1,SUM($G$4:G1258),"")</f>
        <v/>
      </c>
    </row>
    <row r="1259" spans="1:8" x14ac:dyDescent="0.35">
      <c r="A1259" s="56" t="s">
        <v>4906</v>
      </c>
      <c r="B1259" s="56" t="s">
        <v>5023</v>
      </c>
      <c r="C1259" s="56" t="s">
        <v>5024</v>
      </c>
      <c r="D1259" s="39">
        <v>300</v>
      </c>
      <c r="E1259" s="56" t="s">
        <v>5025</v>
      </c>
      <c r="F1259" s="55" t="s">
        <v>5026</v>
      </c>
      <c r="G1259" s="5">
        <f>IF(Estimation!$B$18="",0,IF(ISNUMBER(SEARCH(LOWER(Estimation!$B$18),F1259)),1,0))</f>
        <v>0</v>
      </c>
      <c r="H1259" s="5" t="str">
        <f>IF(G1259=1,SUM($G$4:G1259),"")</f>
        <v/>
      </c>
    </row>
    <row r="1260" spans="1:8" x14ac:dyDescent="0.35">
      <c r="A1260" s="56" t="s">
        <v>4906</v>
      </c>
      <c r="B1260" s="56" t="s">
        <v>5027</v>
      </c>
      <c r="C1260" s="56" t="s">
        <v>5028</v>
      </c>
      <c r="D1260" s="39">
        <v>1300</v>
      </c>
      <c r="E1260" s="56" t="s">
        <v>5029</v>
      </c>
      <c r="F1260" s="55" t="s">
        <v>5030</v>
      </c>
      <c r="G1260" s="5">
        <f>IF(Estimation!$B$18="",0,IF(ISNUMBER(SEARCH(LOWER(Estimation!$B$18),F1260)),1,0))</f>
        <v>0</v>
      </c>
      <c r="H1260" s="5" t="str">
        <f>IF(G1260=1,SUM($G$4:G1260),"")</f>
        <v/>
      </c>
    </row>
    <row r="1261" spans="1:8" x14ac:dyDescent="0.35">
      <c r="A1261" s="56" t="s">
        <v>4906</v>
      </c>
      <c r="B1261" s="56" t="s">
        <v>5031</v>
      </c>
      <c r="C1261" s="56" t="s">
        <v>5032</v>
      </c>
      <c r="D1261" s="39">
        <v>320</v>
      </c>
      <c r="E1261" s="56" t="s">
        <v>5033</v>
      </c>
      <c r="F1261" s="55" t="s">
        <v>5034</v>
      </c>
      <c r="G1261" s="5">
        <f>IF(Estimation!$B$18="",0,IF(ISNUMBER(SEARCH(LOWER(Estimation!$B$18),F1261)),1,0))</f>
        <v>0</v>
      </c>
      <c r="H1261" s="5" t="str">
        <f>IF(G1261=1,SUM($G$4:G1261),"")</f>
        <v/>
      </c>
    </row>
    <row r="1262" spans="1:8" x14ac:dyDescent="0.35">
      <c r="A1262" s="56" t="s">
        <v>4906</v>
      </c>
      <c r="B1262" s="56" t="s">
        <v>5035</v>
      </c>
      <c r="C1262" s="56" t="s">
        <v>5036</v>
      </c>
      <c r="D1262" s="39">
        <v>400</v>
      </c>
      <c r="E1262" s="56" t="s">
        <v>5037</v>
      </c>
      <c r="F1262" s="55" t="s">
        <v>5038</v>
      </c>
      <c r="G1262" s="5">
        <f>IF(Estimation!$B$18="",0,IF(ISNUMBER(SEARCH(LOWER(Estimation!$B$18),F1262)),1,0))</f>
        <v>0</v>
      </c>
      <c r="H1262" s="5" t="str">
        <f>IF(G1262=1,SUM($G$4:G1262),"")</f>
        <v/>
      </c>
    </row>
    <row r="1263" spans="1:8" x14ac:dyDescent="0.35">
      <c r="A1263" s="56" t="s">
        <v>4906</v>
      </c>
      <c r="B1263" s="56" t="s">
        <v>5039</v>
      </c>
      <c r="C1263" s="56" t="s">
        <v>5040</v>
      </c>
      <c r="D1263" s="39">
        <v>120</v>
      </c>
      <c r="E1263" s="56" t="s">
        <v>5041</v>
      </c>
      <c r="F1263" s="55" t="s">
        <v>5042</v>
      </c>
      <c r="G1263" s="5">
        <f>IF(Estimation!$B$18="",0,IF(ISNUMBER(SEARCH(LOWER(Estimation!$B$18),F1263)),1,0))</f>
        <v>0</v>
      </c>
      <c r="H1263" s="5" t="str">
        <f>IF(G1263=1,SUM($G$4:G1263),"")</f>
        <v/>
      </c>
    </row>
    <row r="1264" spans="1:8" x14ac:dyDescent="0.35">
      <c r="A1264" s="56" t="s">
        <v>4906</v>
      </c>
      <c r="B1264" s="56" t="s">
        <v>5043</v>
      </c>
      <c r="C1264" s="56" t="s">
        <v>5044</v>
      </c>
      <c r="D1264" s="39">
        <v>120</v>
      </c>
      <c r="E1264" s="56" t="s">
        <v>5045</v>
      </c>
      <c r="F1264" s="55" t="s">
        <v>5046</v>
      </c>
      <c r="G1264" s="5">
        <f>IF(Estimation!$B$18="",0,IF(ISNUMBER(SEARCH(LOWER(Estimation!$B$18),F1264)),1,0))</f>
        <v>0</v>
      </c>
      <c r="H1264" s="5" t="str">
        <f>IF(G1264=1,SUM($G$4:G1264),"")</f>
        <v/>
      </c>
    </row>
    <row r="1265" spans="1:8" x14ac:dyDescent="0.35">
      <c r="A1265" s="56" t="s">
        <v>4906</v>
      </c>
      <c r="B1265" s="56" t="s">
        <v>5047</v>
      </c>
      <c r="C1265" s="56" t="s">
        <v>5048</v>
      </c>
      <c r="D1265" s="39">
        <v>150</v>
      </c>
      <c r="E1265" s="56" t="s">
        <v>5049</v>
      </c>
      <c r="F1265" s="55" t="s">
        <v>5050</v>
      </c>
      <c r="G1265" s="5">
        <f>IF(Estimation!$B$18="",0,IF(ISNUMBER(SEARCH(LOWER(Estimation!$B$18),F1265)),1,0))</f>
        <v>0</v>
      </c>
      <c r="H1265" s="5" t="str">
        <f>IF(G1265=1,SUM($G$4:G1265),"")</f>
        <v/>
      </c>
    </row>
    <row r="1266" spans="1:8" x14ac:dyDescent="0.35">
      <c r="A1266" s="56" t="s">
        <v>4906</v>
      </c>
      <c r="B1266" s="56" t="s">
        <v>5051</v>
      </c>
      <c r="C1266" s="56" t="s">
        <v>5052</v>
      </c>
      <c r="D1266" s="39">
        <v>300</v>
      </c>
      <c r="E1266" s="56" t="s">
        <v>5053</v>
      </c>
      <c r="F1266" s="55" t="s">
        <v>5054</v>
      </c>
      <c r="G1266" s="5">
        <f>IF(Estimation!$B$18="",0,IF(ISNUMBER(SEARCH(LOWER(Estimation!$B$18),F1266)),1,0))</f>
        <v>0</v>
      </c>
      <c r="H1266" s="5" t="str">
        <f>IF(G1266=1,SUM($G$4:G1266),"")</f>
        <v/>
      </c>
    </row>
    <row r="1267" spans="1:8" x14ac:dyDescent="0.35">
      <c r="A1267" s="56" t="s">
        <v>4906</v>
      </c>
      <c r="B1267" s="56" t="s">
        <v>5055</v>
      </c>
      <c r="C1267" s="56" t="s">
        <v>5056</v>
      </c>
      <c r="D1267" s="39">
        <v>350</v>
      </c>
      <c r="E1267" s="56" t="s">
        <v>5057</v>
      </c>
      <c r="F1267" s="55" t="s">
        <v>5058</v>
      </c>
      <c r="G1267" s="5">
        <f>IF(Estimation!$B$18="",0,IF(ISNUMBER(SEARCH(LOWER(Estimation!$B$18),F1267)),1,0))</f>
        <v>0</v>
      </c>
      <c r="H1267" s="5" t="str">
        <f>IF(G1267=1,SUM($G$4:G1267),"")</f>
        <v/>
      </c>
    </row>
    <row r="1268" spans="1:8" x14ac:dyDescent="0.35">
      <c r="A1268" s="56" t="s">
        <v>4906</v>
      </c>
      <c r="B1268" s="56" t="s">
        <v>5059</v>
      </c>
      <c r="C1268" s="56" t="s">
        <v>5060</v>
      </c>
      <c r="D1268" s="39">
        <v>420</v>
      </c>
      <c r="E1268" s="56" t="s">
        <v>5061</v>
      </c>
      <c r="F1268" s="55" t="s">
        <v>5062</v>
      </c>
      <c r="G1268" s="5">
        <f>IF(Estimation!$B$18="",0,IF(ISNUMBER(SEARCH(LOWER(Estimation!$B$18),F1268)),1,0))</f>
        <v>0</v>
      </c>
      <c r="H1268" s="5" t="str">
        <f>IF(G1268=1,SUM($G$4:G1268),"")</f>
        <v/>
      </c>
    </row>
    <row r="1269" spans="1:8" x14ac:dyDescent="0.35">
      <c r="A1269" s="56" t="s">
        <v>4906</v>
      </c>
      <c r="B1269" s="56" t="s">
        <v>5063</v>
      </c>
      <c r="C1269" s="56" t="s">
        <v>5064</v>
      </c>
      <c r="D1269" s="39">
        <v>480</v>
      </c>
      <c r="E1269" s="56" t="s">
        <v>5065</v>
      </c>
      <c r="F1269" s="55" t="s">
        <v>5066</v>
      </c>
      <c r="G1269" s="5">
        <f>IF(Estimation!$B$18="",0,IF(ISNUMBER(SEARCH(LOWER(Estimation!$B$18),F1269)),1,0))</f>
        <v>0</v>
      </c>
      <c r="H1269" s="5" t="str">
        <f>IF(G1269=1,SUM($G$4:G1269),"")</f>
        <v/>
      </c>
    </row>
    <row r="1270" spans="1:8" x14ac:dyDescent="0.35">
      <c r="A1270" s="56" t="s">
        <v>4906</v>
      </c>
      <c r="B1270" s="56" t="s">
        <v>5067</v>
      </c>
      <c r="C1270" s="56" t="s">
        <v>5068</v>
      </c>
      <c r="D1270" s="39">
        <v>2.5</v>
      </c>
      <c r="E1270" s="56" t="s">
        <v>5069</v>
      </c>
      <c r="F1270" s="55" t="s">
        <v>5070</v>
      </c>
      <c r="G1270" s="5">
        <f>IF(Estimation!$B$18="",0,IF(ISNUMBER(SEARCH(LOWER(Estimation!$B$18),F1270)),1,0))</f>
        <v>0</v>
      </c>
      <c r="H1270" s="5" t="str">
        <f>IF(G1270=1,SUM($G$4:G1270),"")</f>
        <v/>
      </c>
    </row>
    <row r="1271" spans="1:8" x14ac:dyDescent="0.35">
      <c r="A1271" s="56" t="s">
        <v>4906</v>
      </c>
      <c r="B1271" s="56" t="s">
        <v>5071</v>
      </c>
      <c r="C1271" s="56" t="s">
        <v>5072</v>
      </c>
      <c r="D1271" s="39">
        <v>8</v>
      </c>
      <c r="E1271" s="56" t="s">
        <v>5073</v>
      </c>
      <c r="F1271" s="55" t="s">
        <v>5074</v>
      </c>
      <c r="G1271" s="5">
        <f>IF(Estimation!$B$18="",0,IF(ISNUMBER(SEARCH(LOWER(Estimation!$B$18),F1271)),1,0))</f>
        <v>0</v>
      </c>
      <c r="H1271" s="5" t="str">
        <f>IF(G1271=1,SUM($G$4:G1271),"")</f>
        <v/>
      </c>
    </row>
    <row r="1272" spans="1:8" x14ac:dyDescent="0.35">
      <c r="A1272" s="56" t="s">
        <v>4906</v>
      </c>
      <c r="B1272" s="56" t="s">
        <v>5075</v>
      </c>
      <c r="C1272" s="56" t="s">
        <v>5076</v>
      </c>
      <c r="D1272" s="39">
        <v>8</v>
      </c>
      <c r="E1272" s="56" t="s">
        <v>5077</v>
      </c>
      <c r="F1272" s="55" t="s">
        <v>5078</v>
      </c>
      <c r="G1272" s="5">
        <f>IF(Estimation!$B$18="",0,IF(ISNUMBER(SEARCH(LOWER(Estimation!$B$18),F1272)),1,0))</f>
        <v>0</v>
      </c>
      <c r="H1272" s="5" t="str">
        <f>IF(G1272=1,SUM($G$4:G1272),"")</f>
        <v/>
      </c>
    </row>
    <row r="1273" spans="1:8" x14ac:dyDescent="0.35">
      <c r="A1273" s="56" t="s">
        <v>4906</v>
      </c>
      <c r="B1273" s="56" t="s">
        <v>5079</v>
      </c>
      <c r="C1273" s="56" t="s">
        <v>5080</v>
      </c>
      <c r="D1273" s="39">
        <v>15</v>
      </c>
      <c r="E1273" s="56" t="s">
        <v>5081</v>
      </c>
      <c r="F1273" s="55" t="s">
        <v>5082</v>
      </c>
      <c r="G1273" s="5">
        <f>IF(Estimation!$B$18="",0,IF(ISNUMBER(SEARCH(LOWER(Estimation!$B$18),F1273)),1,0))</f>
        <v>0</v>
      </c>
      <c r="H1273" s="5" t="str">
        <f>IF(G1273=1,SUM($G$4:G1273),"")</f>
        <v/>
      </c>
    </row>
    <row r="1274" spans="1:8" x14ac:dyDescent="0.35">
      <c r="A1274" s="56" t="s">
        <v>4906</v>
      </c>
      <c r="B1274" s="56" t="s">
        <v>5083</v>
      </c>
      <c r="C1274" s="56" t="s">
        <v>5084</v>
      </c>
      <c r="D1274" s="39">
        <v>30</v>
      </c>
      <c r="E1274" s="56" t="s">
        <v>5085</v>
      </c>
      <c r="F1274" s="55" t="s">
        <v>5086</v>
      </c>
      <c r="G1274" s="5">
        <f>IF(Estimation!$B$18="",0,IF(ISNUMBER(SEARCH(LOWER(Estimation!$B$18),F1274)),1,0))</f>
        <v>0</v>
      </c>
      <c r="H1274" s="5" t="str">
        <f>IF(G1274=1,SUM($G$4:G1274),"")</f>
        <v/>
      </c>
    </row>
    <row r="1275" spans="1:8" x14ac:dyDescent="0.35">
      <c r="A1275" s="56" t="s">
        <v>4906</v>
      </c>
      <c r="B1275" s="56" t="s">
        <v>5087</v>
      </c>
      <c r="C1275" s="56" t="s">
        <v>5088</v>
      </c>
      <c r="D1275" s="39">
        <v>30</v>
      </c>
      <c r="E1275" s="56" t="s">
        <v>5089</v>
      </c>
      <c r="F1275" s="55" t="s">
        <v>5090</v>
      </c>
      <c r="G1275" s="5">
        <f>IF(Estimation!$B$18="",0,IF(ISNUMBER(SEARCH(LOWER(Estimation!$B$18),F1275)),1,0))</f>
        <v>0</v>
      </c>
      <c r="H1275" s="5" t="str">
        <f>IF(G1275=1,SUM($G$4:G1275),"")</f>
        <v/>
      </c>
    </row>
    <row r="1276" spans="1:8" x14ac:dyDescent="0.35">
      <c r="A1276" s="56" t="s">
        <v>4906</v>
      </c>
      <c r="B1276" s="56" t="s">
        <v>5091</v>
      </c>
      <c r="C1276" s="56" t="s">
        <v>5092</v>
      </c>
      <c r="D1276" s="39">
        <v>20</v>
      </c>
      <c r="E1276" s="56" t="s">
        <v>5093</v>
      </c>
      <c r="F1276" s="55" t="s">
        <v>5094</v>
      </c>
      <c r="G1276" s="5">
        <f>IF(Estimation!$B$18="",0,IF(ISNUMBER(SEARCH(LOWER(Estimation!$B$18),F1276)),1,0))</f>
        <v>0</v>
      </c>
      <c r="H1276" s="5" t="str">
        <f>IF(G1276=1,SUM($G$4:G1276),"")</f>
        <v/>
      </c>
    </row>
    <row r="1277" spans="1:8" x14ac:dyDescent="0.35">
      <c r="A1277" s="56" t="s">
        <v>4906</v>
      </c>
      <c r="B1277" s="56" t="s">
        <v>5095</v>
      </c>
      <c r="C1277" s="56" t="s">
        <v>5096</v>
      </c>
      <c r="D1277" s="39">
        <v>35</v>
      </c>
      <c r="E1277" s="56" t="s">
        <v>5097</v>
      </c>
      <c r="F1277" s="55" t="s">
        <v>5098</v>
      </c>
      <c r="G1277" s="5">
        <f>IF(Estimation!$B$18="",0,IF(ISNUMBER(SEARCH(LOWER(Estimation!$B$18),F1277)),1,0))</f>
        <v>0</v>
      </c>
      <c r="H1277" s="5" t="str">
        <f>IF(G1277=1,SUM($G$4:G1277),"")</f>
        <v/>
      </c>
    </row>
    <row r="1278" spans="1:8" x14ac:dyDescent="0.35">
      <c r="A1278" s="56" t="s">
        <v>4906</v>
      </c>
      <c r="B1278" s="56" t="s">
        <v>5099</v>
      </c>
      <c r="C1278" s="56" t="s">
        <v>5100</v>
      </c>
      <c r="D1278" s="39">
        <v>25</v>
      </c>
      <c r="E1278" s="56" t="s">
        <v>5101</v>
      </c>
      <c r="F1278" s="55" t="s">
        <v>5102</v>
      </c>
      <c r="G1278" s="5">
        <f>IF(Estimation!$B$18="",0,IF(ISNUMBER(SEARCH(LOWER(Estimation!$B$18),F1278)),1,0))</f>
        <v>0</v>
      </c>
      <c r="H1278" s="5" t="str">
        <f>IF(G1278=1,SUM($G$4:G1278),"")</f>
        <v/>
      </c>
    </row>
    <row r="1279" spans="1:8" x14ac:dyDescent="0.35">
      <c r="A1279" s="56" t="s">
        <v>5103</v>
      </c>
      <c r="B1279" s="56" t="s">
        <v>5104</v>
      </c>
      <c r="C1279" s="56" t="s">
        <v>5105</v>
      </c>
      <c r="D1279" s="39">
        <v>100</v>
      </c>
      <c r="E1279" s="56" t="s">
        <v>5106</v>
      </c>
      <c r="F1279" s="55" t="s">
        <v>5107</v>
      </c>
      <c r="G1279" s="5">
        <f>IF(Estimation!$B$18="",0,IF(ISNUMBER(SEARCH(LOWER(Estimation!$B$18),F1279)),1,0))</f>
        <v>0</v>
      </c>
      <c r="H1279" s="5" t="str">
        <f>IF(G1279=1,SUM($G$4:G1279),"")</f>
        <v/>
      </c>
    </row>
    <row r="1280" spans="1:8" x14ac:dyDescent="0.35">
      <c r="A1280" s="56" t="s">
        <v>5103</v>
      </c>
      <c r="B1280" s="56" t="s">
        <v>5108</v>
      </c>
      <c r="C1280" s="56" t="s">
        <v>5109</v>
      </c>
      <c r="D1280" s="39">
        <v>120</v>
      </c>
      <c r="E1280" s="56" t="s">
        <v>5110</v>
      </c>
      <c r="F1280" s="55" t="s">
        <v>5111</v>
      </c>
      <c r="G1280" s="5">
        <f>IF(Estimation!$B$18="",0,IF(ISNUMBER(SEARCH(LOWER(Estimation!$B$18),F1280)),1,0))</f>
        <v>0</v>
      </c>
      <c r="H1280" s="5" t="str">
        <f>IF(G1280=1,SUM($G$4:G1280),"")</f>
        <v/>
      </c>
    </row>
    <row r="1281" spans="1:8" x14ac:dyDescent="0.35">
      <c r="A1281" s="56" t="s">
        <v>5103</v>
      </c>
      <c r="B1281" s="56" t="s">
        <v>5112</v>
      </c>
      <c r="C1281" s="56" t="s">
        <v>5113</v>
      </c>
      <c r="D1281" s="39">
        <v>130</v>
      </c>
      <c r="E1281" s="56" t="s">
        <v>5114</v>
      </c>
      <c r="F1281" s="55" t="s">
        <v>5115</v>
      </c>
      <c r="G1281" s="5">
        <f>IF(Estimation!$B$18="",0,IF(ISNUMBER(SEARCH(LOWER(Estimation!$B$18),F1281)),1,0))</f>
        <v>0</v>
      </c>
      <c r="H1281" s="5" t="str">
        <f>IF(G1281=1,SUM($G$4:G1281),"")</f>
        <v/>
      </c>
    </row>
    <row r="1282" spans="1:8" x14ac:dyDescent="0.35">
      <c r="A1282" s="56" t="s">
        <v>5103</v>
      </c>
      <c r="B1282" s="56" t="s">
        <v>5116</v>
      </c>
      <c r="C1282" s="56" t="s">
        <v>5117</v>
      </c>
      <c r="D1282" s="39">
        <v>240</v>
      </c>
      <c r="E1282" s="56" t="s">
        <v>5118</v>
      </c>
      <c r="F1282" s="55" t="s">
        <v>5119</v>
      </c>
      <c r="G1282" s="5">
        <f>IF(Estimation!$B$18="",0,IF(ISNUMBER(SEARCH(LOWER(Estimation!$B$18),F1282)),1,0))</f>
        <v>0</v>
      </c>
      <c r="H1282" s="5" t="str">
        <f>IF(G1282=1,SUM($G$4:G1282),"")</f>
        <v/>
      </c>
    </row>
    <row r="1283" spans="1:8" x14ac:dyDescent="0.35">
      <c r="A1283" s="56" t="s">
        <v>5103</v>
      </c>
      <c r="B1283" s="56" t="s">
        <v>5120</v>
      </c>
      <c r="C1283" s="56" t="s">
        <v>5121</v>
      </c>
      <c r="D1283" s="39">
        <v>140</v>
      </c>
      <c r="E1283" s="56" t="s">
        <v>5122</v>
      </c>
      <c r="F1283" s="55" t="s">
        <v>5123</v>
      </c>
      <c r="G1283" s="5">
        <f>IF(Estimation!$B$18="",0,IF(ISNUMBER(SEARCH(LOWER(Estimation!$B$18),F1283)),1,0))</f>
        <v>0</v>
      </c>
      <c r="H1283" s="5" t="str">
        <f>IF(G1283=1,SUM($G$4:G1283),"")</f>
        <v/>
      </c>
    </row>
    <row r="1284" spans="1:8" x14ac:dyDescent="0.35">
      <c r="A1284" s="56" t="s">
        <v>5103</v>
      </c>
      <c r="B1284" s="56" t="s">
        <v>5124</v>
      </c>
      <c r="C1284" s="56" t="s">
        <v>5125</v>
      </c>
      <c r="D1284" s="39">
        <v>280</v>
      </c>
      <c r="E1284" s="56" t="s">
        <v>5126</v>
      </c>
      <c r="F1284" s="55" t="s">
        <v>5127</v>
      </c>
      <c r="G1284" s="5">
        <f>IF(Estimation!$B$18="",0,IF(ISNUMBER(SEARCH(LOWER(Estimation!$B$18),F1284)),1,0))</f>
        <v>0</v>
      </c>
      <c r="H1284" s="5" t="str">
        <f>IF(G1284=1,SUM($G$4:G1284),"")</f>
        <v/>
      </c>
    </row>
    <row r="1285" spans="1:8" x14ac:dyDescent="0.35">
      <c r="A1285" s="56" t="s">
        <v>5103</v>
      </c>
      <c r="B1285" s="56" t="s">
        <v>5128</v>
      </c>
      <c r="C1285" s="56" t="s">
        <v>5129</v>
      </c>
      <c r="D1285" s="39">
        <v>250</v>
      </c>
      <c r="E1285" s="56" t="s">
        <v>5130</v>
      </c>
      <c r="F1285" s="55" t="s">
        <v>5131</v>
      </c>
      <c r="G1285" s="5">
        <f>IF(Estimation!$B$18="",0,IF(ISNUMBER(SEARCH(LOWER(Estimation!$B$18),F1285)),1,0))</f>
        <v>0</v>
      </c>
      <c r="H1285" s="5" t="str">
        <f>IF(G1285=1,SUM($G$4:G1285),"")</f>
        <v/>
      </c>
    </row>
    <row r="1286" spans="1:8" x14ac:dyDescent="0.35">
      <c r="A1286" s="56" t="s">
        <v>5103</v>
      </c>
      <c r="B1286" s="56" t="s">
        <v>5132</v>
      </c>
      <c r="C1286" s="56" t="s">
        <v>5133</v>
      </c>
      <c r="D1286" s="39">
        <v>500</v>
      </c>
      <c r="E1286" s="56" t="s">
        <v>5134</v>
      </c>
      <c r="F1286" s="55" t="s">
        <v>5135</v>
      </c>
      <c r="G1286" s="5">
        <f>IF(Estimation!$B$18="",0,IF(ISNUMBER(SEARCH(LOWER(Estimation!$B$18),F1286)),1,0))</f>
        <v>0</v>
      </c>
      <c r="H1286" s="5" t="str">
        <f>IF(G1286=1,SUM($G$4:G1286),"")</f>
        <v/>
      </c>
    </row>
    <row r="1287" spans="1:8" x14ac:dyDescent="0.35">
      <c r="A1287" s="56" t="s">
        <v>5103</v>
      </c>
      <c r="B1287" s="56" t="s">
        <v>5136</v>
      </c>
      <c r="C1287" s="56" t="s">
        <v>5137</v>
      </c>
      <c r="D1287" s="39">
        <v>200</v>
      </c>
      <c r="E1287" s="56" t="s">
        <v>5138</v>
      </c>
      <c r="F1287" s="55" t="s">
        <v>5139</v>
      </c>
      <c r="G1287" s="5">
        <f>IF(Estimation!$B$18="",0,IF(ISNUMBER(SEARCH(LOWER(Estimation!$B$18),F1287)),1,0))</f>
        <v>0</v>
      </c>
      <c r="H1287" s="5" t="str">
        <f>IF(G1287=1,SUM($G$4:G1287),"")</f>
        <v/>
      </c>
    </row>
    <row r="1288" spans="1:8" x14ac:dyDescent="0.35">
      <c r="A1288" s="56" t="s">
        <v>5103</v>
      </c>
      <c r="B1288" s="56" t="s">
        <v>5140</v>
      </c>
      <c r="C1288" s="56" t="s">
        <v>5141</v>
      </c>
      <c r="D1288" s="39">
        <v>600</v>
      </c>
      <c r="E1288" s="56" t="s">
        <v>5142</v>
      </c>
      <c r="F1288" s="55" t="s">
        <v>5143</v>
      </c>
      <c r="G1288" s="5">
        <f>IF(Estimation!$B$18="",0,IF(ISNUMBER(SEARCH(LOWER(Estimation!$B$18),F1288)),1,0))</f>
        <v>0</v>
      </c>
      <c r="H1288" s="5" t="str">
        <f>IF(G1288=1,SUM($G$4:G1288),"")</f>
        <v/>
      </c>
    </row>
    <row r="1289" spans="1:8" x14ac:dyDescent="0.35">
      <c r="A1289" s="56" t="s">
        <v>5103</v>
      </c>
      <c r="B1289" s="56" t="s">
        <v>5144</v>
      </c>
      <c r="C1289" s="56" t="s">
        <v>5145</v>
      </c>
      <c r="D1289" s="39">
        <v>250</v>
      </c>
      <c r="E1289" s="56" t="s">
        <v>5146</v>
      </c>
      <c r="F1289" s="55" t="s">
        <v>5147</v>
      </c>
      <c r="G1289" s="5">
        <f>IF(Estimation!$B$18="",0,IF(ISNUMBER(SEARCH(LOWER(Estimation!$B$18),F1289)),1,0))</f>
        <v>0</v>
      </c>
      <c r="H1289" s="5" t="str">
        <f>IF(G1289=1,SUM($G$4:G1289),"")</f>
        <v/>
      </c>
    </row>
    <row r="1290" spans="1:8" x14ac:dyDescent="0.35">
      <c r="A1290" s="56" t="s">
        <v>5103</v>
      </c>
      <c r="B1290" s="56" t="s">
        <v>5148</v>
      </c>
      <c r="C1290" s="56" t="s">
        <v>5149</v>
      </c>
      <c r="D1290" s="39">
        <v>750</v>
      </c>
      <c r="E1290" s="56" t="s">
        <v>5150</v>
      </c>
      <c r="F1290" s="55" t="s">
        <v>5151</v>
      </c>
      <c r="G1290" s="5">
        <f>IF(Estimation!$B$18="",0,IF(ISNUMBER(SEARCH(LOWER(Estimation!$B$18),F1290)),1,0))</f>
        <v>0</v>
      </c>
      <c r="H1290" s="5" t="str">
        <f>IF(G1290=1,SUM($G$4:G1290),"")</f>
        <v/>
      </c>
    </row>
    <row r="1291" spans="1:8" x14ac:dyDescent="0.35">
      <c r="A1291" s="56" t="s">
        <v>5103</v>
      </c>
      <c r="B1291" s="56" t="s">
        <v>5152</v>
      </c>
      <c r="C1291" s="56" t="s">
        <v>5153</v>
      </c>
      <c r="D1291" s="39">
        <v>165</v>
      </c>
      <c r="E1291" s="56" t="s">
        <v>5154</v>
      </c>
      <c r="F1291" s="55" t="s">
        <v>5155</v>
      </c>
      <c r="G1291" s="5">
        <f>IF(Estimation!$B$18="",0,IF(ISNUMBER(SEARCH(LOWER(Estimation!$B$18),F1291)),1,0))</f>
        <v>0</v>
      </c>
      <c r="H1291" s="5" t="str">
        <f>IF(G1291=1,SUM($G$4:G1291),"")</f>
        <v/>
      </c>
    </row>
    <row r="1292" spans="1:8" x14ac:dyDescent="0.35">
      <c r="A1292" s="56" t="s">
        <v>5103</v>
      </c>
      <c r="B1292" s="56" t="s">
        <v>5156</v>
      </c>
      <c r="C1292" s="56" t="s">
        <v>5157</v>
      </c>
      <c r="D1292" s="39">
        <v>165</v>
      </c>
      <c r="E1292" s="56" t="s">
        <v>5158</v>
      </c>
      <c r="F1292" s="55" t="s">
        <v>5159</v>
      </c>
      <c r="G1292" s="5">
        <f>IF(Estimation!$B$18="",0,IF(ISNUMBER(SEARCH(LOWER(Estimation!$B$18),F1292)),1,0))</f>
        <v>0</v>
      </c>
      <c r="H1292" s="5" t="str">
        <f>IF(G1292=1,SUM($G$4:G1292),"")</f>
        <v/>
      </c>
    </row>
    <row r="1293" spans="1:8" x14ac:dyDescent="0.35">
      <c r="A1293" s="56" t="s">
        <v>5103</v>
      </c>
      <c r="B1293" s="56" t="s">
        <v>5160</v>
      </c>
      <c r="C1293" s="56" t="s">
        <v>5161</v>
      </c>
      <c r="D1293" s="39">
        <v>165</v>
      </c>
      <c r="E1293" s="56" t="s">
        <v>5162</v>
      </c>
      <c r="F1293" s="55" t="s">
        <v>5163</v>
      </c>
      <c r="G1293" s="5">
        <f>IF(Estimation!$B$18="",0,IF(ISNUMBER(SEARCH(LOWER(Estimation!$B$18),F1293)),1,0))</f>
        <v>0</v>
      </c>
      <c r="H1293" s="5" t="str">
        <f>IF(G1293=1,SUM($G$4:G1293),"")</f>
        <v/>
      </c>
    </row>
    <row r="1294" spans="1:8" x14ac:dyDescent="0.35">
      <c r="A1294" s="56" t="s">
        <v>5103</v>
      </c>
      <c r="B1294" s="56" t="s">
        <v>5164</v>
      </c>
      <c r="C1294" s="56" t="s">
        <v>5165</v>
      </c>
      <c r="D1294" s="39">
        <v>200</v>
      </c>
      <c r="E1294" s="56" t="s">
        <v>5166</v>
      </c>
      <c r="F1294" s="55" t="s">
        <v>5167</v>
      </c>
      <c r="G1294" s="5">
        <f>IF(Estimation!$B$18="",0,IF(ISNUMBER(SEARCH(LOWER(Estimation!$B$18),F1294)),1,0))</f>
        <v>0</v>
      </c>
      <c r="H1294" s="5" t="str">
        <f>IF(G1294=1,SUM($G$4:G1294),"")</f>
        <v/>
      </c>
    </row>
    <row r="1295" spans="1:8" x14ac:dyDescent="0.35">
      <c r="A1295" s="56" t="s">
        <v>5103</v>
      </c>
      <c r="B1295" s="56" t="s">
        <v>5168</v>
      </c>
      <c r="C1295" s="56" t="s">
        <v>5169</v>
      </c>
      <c r="D1295" s="39">
        <v>221</v>
      </c>
      <c r="E1295" s="56" t="s">
        <v>5170</v>
      </c>
      <c r="F1295" s="55" t="s">
        <v>5171</v>
      </c>
      <c r="G1295" s="5">
        <f>IF(Estimation!$B$18="",0,IF(ISNUMBER(SEARCH(LOWER(Estimation!$B$18),F1295)),1,0))</f>
        <v>0</v>
      </c>
      <c r="H1295" s="5" t="str">
        <f>IF(G1295=1,SUM($G$4:G1295),"")</f>
        <v/>
      </c>
    </row>
    <row r="1296" spans="1:8" x14ac:dyDescent="0.35">
      <c r="A1296" s="56" t="s">
        <v>5103</v>
      </c>
      <c r="B1296" s="56" t="s">
        <v>5172</v>
      </c>
      <c r="C1296" s="56" t="s">
        <v>5173</v>
      </c>
      <c r="D1296" s="39">
        <v>240</v>
      </c>
      <c r="E1296" s="56" t="s">
        <v>5174</v>
      </c>
      <c r="F1296" s="55" t="s">
        <v>5175</v>
      </c>
      <c r="G1296" s="5">
        <f>IF(Estimation!$B$18="",0,IF(ISNUMBER(SEARCH(LOWER(Estimation!$B$18),F1296)),1,0))</f>
        <v>0</v>
      </c>
      <c r="H1296" s="5" t="str">
        <f>IF(G1296=1,SUM($G$4:G1296),"")</f>
        <v/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1"/>
  <sheetViews>
    <sheetView zoomScaleNormal="100" workbookViewId="0">
      <selection sqref="A1:E1"/>
    </sheetView>
  </sheetViews>
  <sheetFormatPr defaultColWidth="8.6328125" defaultRowHeight="14.5" x14ac:dyDescent="0.35"/>
  <cols>
    <col min="1" max="1" width="26" style="6" customWidth="1"/>
    <col min="2" max="2" width="22" style="6" customWidth="1"/>
    <col min="3" max="3" width="56" style="6" customWidth="1"/>
    <col min="4" max="4" width="18" style="6" customWidth="1"/>
    <col min="5" max="5" width="34" style="6" customWidth="1"/>
  </cols>
  <sheetData>
    <row r="1" spans="1:5" ht="30" customHeight="1" x14ac:dyDescent="0.35">
      <c r="A1" s="65" t="s">
        <v>5176</v>
      </c>
      <c r="B1" s="65"/>
      <c r="C1" s="65"/>
      <c r="D1" s="65"/>
      <c r="E1" s="65"/>
    </row>
    <row r="2" spans="1:5" ht="15.75" customHeight="1" x14ac:dyDescent="0.35">
      <c r="A2" s="66" t="s">
        <v>5177</v>
      </c>
      <c r="B2" s="66"/>
      <c r="C2" s="66"/>
      <c r="D2" s="66"/>
      <c r="E2" s="66"/>
    </row>
    <row r="3" spans="1:5" ht="27.75" customHeight="1" x14ac:dyDescent="0.35">
      <c r="A3" s="7" t="s">
        <v>5178</v>
      </c>
      <c r="B3" s="7" t="s">
        <v>5179</v>
      </c>
      <c r="C3" s="7" t="s">
        <v>15</v>
      </c>
      <c r="D3" s="7" t="s">
        <v>5180</v>
      </c>
      <c r="E3" s="7" t="s">
        <v>5181</v>
      </c>
    </row>
    <row r="4" spans="1:5" ht="15.75" customHeight="1" x14ac:dyDescent="0.35">
      <c r="A4" s="8" t="s">
        <v>5182</v>
      </c>
      <c r="B4" s="8" t="s">
        <v>24</v>
      </c>
      <c r="C4" s="8" t="s">
        <v>25</v>
      </c>
      <c r="D4" s="9">
        <v>4150</v>
      </c>
      <c r="E4" s="8" t="s">
        <v>5183</v>
      </c>
    </row>
    <row r="5" spans="1:5" ht="15.75" customHeight="1" x14ac:dyDescent="0.35">
      <c r="A5" s="10" t="s">
        <v>5182</v>
      </c>
      <c r="B5" s="10" t="s">
        <v>28</v>
      </c>
      <c r="C5" s="10" t="s">
        <v>29</v>
      </c>
      <c r="D5" s="11">
        <v>4391</v>
      </c>
      <c r="E5" s="10"/>
    </row>
    <row r="6" spans="1:5" ht="15.75" customHeight="1" x14ac:dyDescent="0.35">
      <c r="A6" s="8" t="s">
        <v>5184</v>
      </c>
      <c r="B6" s="8" t="s">
        <v>32</v>
      </c>
      <c r="C6" s="8" t="s">
        <v>33</v>
      </c>
      <c r="D6" s="9">
        <v>3900</v>
      </c>
      <c r="E6" s="8" t="s">
        <v>5185</v>
      </c>
    </row>
    <row r="7" spans="1:5" ht="15.75" customHeight="1" x14ac:dyDescent="0.35">
      <c r="A7" s="10" t="s">
        <v>5186</v>
      </c>
      <c r="B7" s="10" t="s">
        <v>36</v>
      </c>
      <c r="C7" s="10" t="s">
        <v>37</v>
      </c>
      <c r="D7" s="11">
        <v>3990</v>
      </c>
      <c r="E7" s="10" t="s">
        <v>5187</v>
      </c>
    </row>
    <row r="8" spans="1:5" ht="15.75" customHeight="1" x14ac:dyDescent="0.35">
      <c r="A8" s="8" t="s">
        <v>5186</v>
      </c>
      <c r="B8" s="8" t="s">
        <v>40</v>
      </c>
      <c r="C8" s="8" t="s">
        <v>41</v>
      </c>
      <c r="D8" s="9">
        <v>5872</v>
      </c>
      <c r="E8" s="8"/>
    </row>
    <row r="9" spans="1:5" ht="15.75" customHeight="1" x14ac:dyDescent="0.35">
      <c r="A9" s="10" t="s">
        <v>5186</v>
      </c>
      <c r="B9" s="10" t="s">
        <v>44</v>
      </c>
      <c r="C9" s="10" t="s">
        <v>45</v>
      </c>
      <c r="D9" s="11">
        <v>4853</v>
      </c>
      <c r="E9" s="10"/>
    </row>
    <row r="10" spans="1:5" ht="15.75" customHeight="1" x14ac:dyDescent="0.35">
      <c r="A10" s="8" t="s">
        <v>5186</v>
      </c>
      <c r="B10" s="8" t="s">
        <v>48</v>
      </c>
      <c r="C10" s="8" t="s">
        <v>49</v>
      </c>
      <c r="D10" s="9">
        <v>4231</v>
      </c>
      <c r="E10" s="8"/>
    </row>
    <row r="11" spans="1:5" ht="15.75" customHeight="1" x14ac:dyDescent="0.35">
      <c r="A11" s="10" t="s">
        <v>5186</v>
      </c>
      <c r="B11" s="10" t="s">
        <v>52</v>
      </c>
      <c r="C11" s="10" t="s">
        <v>53</v>
      </c>
      <c r="D11" s="11">
        <v>5094</v>
      </c>
      <c r="E11" s="10"/>
    </row>
    <row r="12" spans="1:5" ht="15.75" customHeight="1" x14ac:dyDescent="0.35">
      <c r="A12" s="8" t="s">
        <v>5188</v>
      </c>
      <c r="B12" s="8" t="s">
        <v>56</v>
      </c>
      <c r="C12" s="8" t="s">
        <v>57</v>
      </c>
      <c r="D12" s="9">
        <v>4730</v>
      </c>
      <c r="E12" s="8" t="s">
        <v>5189</v>
      </c>
    </row>
    <row r="13" spans="1:5" ht="15.75" customHeight="1" x14ac:dyDescent="0.35">
      <c r="A13" s="10" t="s">
        <v>5188</v>
      </c>
      <c r="B13" s="10" t="s">
        <v>60</v>
      </c>
      <c r="C13" s="10" t="s">
        <v>61</v>
      </c>
      <c r="D13" s="11">
        <v>5593</v>
      </c>
      <c r="E13" s="10"/>
    </row>
    <row r="14" spans="1:5" ht="15.75" customHeight="1" x14ac:dyDescent="0.35">
      <c r="A14" s="8" t="s">
        <v>5188</v>
      </c>
      <c r="B14" s="8" t="s">
        <v>64</v>
      </c>
      <c r="C14" s="8" t="s">
        <v>65</v>
      </c>
      <c r="D14" s="9">
        <v>5411</v>
      </c>
      <c r="E14" s="8"/>
    </row>
    <row r="15" spans="1:5" ht="15.75" customHeight="1" x14ac:dyDescent="0.35">
      <c r="A15" s="10" t="s">
        <v>5188</v>
      </c>
      <c r="B15" s="10" t="s">
        <v>68</v>
      </c>
      <c r="C15" s="10" t="s">
        <v>69</v>
      </c>
      <c r="D15" s="11">
        <v>4971</v>
      </c>
      <c r="E15" s="10"/>
    </row>
    <row r="16" spans="1:5" ht="15.75" customHeight="1" x14ac:dyDescent="0.35">
      <c r="A16" s="8" t="s">
        <v>5188</v>
      </c>
      <c r="B16" s="8" t="s">
        <v>72</v>
      </c>
      <c r="C16" s="8" t="s">
        <v>73</v>
      </c>
      <c r="D16" s="9">
        <v>5834</v>
      </c>
      <c r="E16" s="8"/>
    </row>
    <row r="17" spans="1:5" ht="15.75" customHeight="1" x14ac:dyDescent="0.35">
      <c r="A17" s="10" t="s">
        <v>5188</v>
      </c>
      <c r="B17" s="10" t="s">
        <v>76</v>
      </c>
      <c r="C17" s="10" t="s">
        <v>77</v>
      </c>
      <c r="D17" s="11">
        <v>6049</v>
      </c>
      <c r="E17" s="10"/>
    </row>
    <row r="18" spans="1:5" ht="15.75" customHeight="1" x14ac:dyDescent="0.35">
      <c r="A18" s="8" t="s">
        <v>5188</v>
      </c>
      <c r="B18" s="8" t="s">
        <v>80</v>
      </c>
      <c r="C18" s="8" t="s">
        <v>81</v>
      </c>
      <c r="D18" s="9">
        <v>5652</v>
      </c>
      <c r="E18" s="8"/>
    </row>
    <row r="19" spans="1:5" ht="15.75" customHeight="1" x14ac:dyDescent="0.35">
      <c r="A19" s="10" t="s">
        <v>5188</v>
      </c>
      <c r="B19" s="10" t="s">
        <v>84</v>
      </c>
      <c r="C19" s="10" t="s">
        <v>85</v>
      </c>
      <c r="D19" s="11">
        <v>5188</v>
      </c>
      <c r="E19" s="10"/>
    </row>
    <row r="20" spans="1:5" ht="15.75" customHeight="1" x14ac:dyDescent="0.35">
      <c r="A20" s="8" t="s">
        <v>5188</v>
      </c>
      <c r="B20" s="8" t="s">
        <v>88</v>
      </c>
      <c r="C20" s="8" t="s">
        <v>89</v>
      </c>
      <c r="D20" s="9">
        <v>6266</v>
      </c>
      <c r="E20" s="8"/>
    </row>
    <row r="21" spans="1:5" ht="15.75" customHeight="1" x14ac:dyDescent="0.35">
      <c r="A21" s="10" t="s">
        <v>5190</v>
      </c>
      <c r="B21" s="10" t="s">
        <v>92</v>
      </c>
      <c r="C21" s="10" t="s">
        <v>93</v>
      </c>
      <c r="D21" s="11">
        <v>6065</v>
      </c>
      <c r="E21" s="10" t="s">
        <v>5191</v>
      </c>
    </row>
    <row r="22" spans="1:5" ht="15.75" customHeight="1" x14ac:dyDescent="0.35">
      <c r="A22" s="8" t="s">
        <v>5190</v>
      </c>
      <c r="B22" s="8" t="s">
        <v>96</v>
      </c>
      <c r="C22" s="8" t="s">
        <v>97</v>
      </c>
      <c r="D22" s="9">
        <v>6929</v>
      </c>
      <c r="E22" s="8"/>
    </row>
    <row r="23" spans="1:5" ht="15.75" customHeight="1" x14ac:dyDescent="0.35">
      <c r="A23" s="10" t="s">
        <v>5190</v>
      </c>
      <c r="B23" s="10" t="s">
        <v>100</v>
      </c>
      <c r="C23" s="10" t="s">
        <v>101</v>
      </c>
      <c r="D23" s="11">
        <v>6306</v>
      </c>
      <c r="E23" s="10"/>
    </row>
    <row r="24" spans="1:5" ht="15.75" customHeight="1" x14ac:dyDescent="0.35">
      <c r="A24" s="8" t="s">
        <v>5190</v>
      </c>
      <c r="B24" s="8" t="s">
        <v>104</v>
      </c>
      <c r="C24" s="8" t="s">
        <v>105</v>
      </c>
      <c r="D24" s="9">
        <v>7170</v>
      </c>
      <c r="E24" s="8"/>
    </row>
    <row r="25" spans="1:5" ht="15.75" customHeight="1" x14ac:dyDescent="0.35">
      <c r="A25" s="10" t="s">
        <v>5190</v>
      </c>
      <c r="B25" s="10" t="s">
        <v>108</v>
      </c>
      <c r="C25" s="10" t="s">
        <v>109</v>
      </c>
      <c r="D25" s="11">
        <v>7386</v>
      </c>
      <c r="E25" s="10"/>
    </row>
    <row r="26" spans="1:5" ht="15.75" customHeight="1" x14ac:dyDescent="0.35">
      <c r="A26" s="8" t="s">
        <v>5190</v>
      </c>
      <c r="B26" s="8" t="s">
        <v>112</v>
      </c>
      <c r="C26" s="8" t="s">
        <v>113</v>
      </c>
      <c r="D26" s="9">
        <v>6523</v>
      </c>
      <c r="E26" s="8"/>
    </row>
    <row r="27" spans="1:5" ht="15.75" customHeight="1" x14ac:dyDescent="0.35">
      <c r="A27" s="10" t="s">
        <v>5190</v>
      </c>
      <c r="B27" s="10" t="s">
        <v>116</v>
      </c>
      <c r="C27" s="10" t="s">
        <v>117</v>
      </c>
      <c r="D27" s="11">
        <v>7386</v>
      </c>
      <c r="E27" s="10"/>
    </row>
    <row r="28" spans="1:5" ht="15.75" customHeight="1" x14ac:dyDescent="0.35">
      <c r="A28" s="8" t="s">
        <v>5190</v>
      </c>
      <c r="B28" s="8" t="s">
        <v>120</v>
      </c>
      <c r="C28" s="8" t="s">
        <v>121</v>
      </c>
      <c r="D28" s="9">
        <v>7601</v>
      </c>
      <c r="E28" s="8"/>
    </row>
    <row r="29" spans="1:5" ht="15.75" customHeight="1" x14ac:dyDescent="0.35">
      <c r="A29" s="10" t="s">
        <v>5192</v>
      </c>
      <c r="B29" s="10" t="s">
        <v>124</v>
      </c>
      <c r="C29" s="10" t="s">
        <v>125</v>
      </c>
      <c r="D29" s="11">
        <v>6475</v>
      </c>
      <c r="E29" s="10" t="s">
        <v>5193</v>
      </c>
    </row>
    <row r="30" spans="1:5" ht="15.75" customHeight="1" x14ac:dyDescent="0.35">
      <c r="A30" s="8" t="s">
        <v>5192</v>
      </c>
      <c r="B30" s="8" t="s">
        <v>128</v>
      </c>
      <c r="C30" s="8" t="s">
        <v>129</v>
      </c>
      <c r="D30" s="9">
        <v>6717</v>
      </c>
      <c r="E30" s="8"/>
    </row>
    <row r="31" spans="1:5" ht="15.75" customHeight="1" x14ac:dyDescent="0.35">
      <c r="A31" s="10" t="s">
        <v>5192</v>
      </c>
      <c r="B31" s="10" t="s">
        <v>132</v>
      </c>
      <c r="C31" s="10" t="s">
        <v>133</v>
      </c>
      <c r="D31" s="11">
        <v>6932</v>
      </c>
      <c r="E31" s="10"/>
    </row>
    <row r="32" spans="1:5" ht="15.75" customHeight="1" x14ac:dyDescent="0.35">
      <c r="A32" s="8" t="s">
        <v>5194</v>
      </c>
      <c r="B32" s="8" t="s">
        <v>136</v>
      </c>
      <c r="C32" s="8" t="s">
        <v>137</v>
      </c>
      <c r="D32" s="9">
        <v>6475</v>
      </c>
      <c r="E32" s="8" t="s">
        <v>5195</v>
      </c>
    </row>
    <row r="33" spans="1:5" ht="15.75" customHeight="1" x14ac:dyDescent="0.35">
      <c r="A33" s="10" t="s">
        <v>5194</v>
      </c>
      <c r="B33" s="10" t="s">
        <v>140</v>
      </c>
      <c r="C33" s="10" t="s">
        <v>141</v>
      </c>
      <c r="D33" s="11">
        <v>6717</v>
      </c>
      <c r="E33" s="10"/>
    </row>
    <row r="34" spans="1:5" ht="15.75" customHeight="1" x14ac:dyDescent="0.35">
      <c r="A34" s="8" t="s">
        <v>5194</v>
      </c>
      <c r="B34" s="8" t="s">
        <v>144</v>
      </c>
      <c r="C34" s="8" t="s">
        <v>145</v>
      </c>
      <c r="D34" s="9">
        <v>6932</v>
      </c>
      <c r="E34" s="8"/>
    </row>
    <row r="35" spans="1:5" ht="15.75" customHeight="1" x14ac:dyDescent="0.35">
      <c r="A35" s="10" t="s">
        <v>5196</v>
      </c>
      <c r="B35" s="10" t="s">
        <v>148</v>
      </c>
      <c r="C35" s="10" t="s">
        <v>149</v>
      </c>
      <c r="D35" s="11">
        <v>7102</v>
      </c>
      <c r="E35" s="10" t="s">
        <v>5197</v>
      </c>
    </row>
    <row r="36" spans="1:5" ht="15.75" customHeight="1" x14ac:dyDescent="0.35">
      <c r="A36" s="8" t="s">
        <v>5196</v>
      </c>
      <c r="B36" s="8" t="s">
        <v>152</v>
      </c>
      <c r="C36" s="8" t="s">
        <v>153</v>
      </c>
      <c r="D36" s="9">
        <v>7342</v>
      </c>
      <c r="E36" s="8"/>
    </row>
    <row r="37" spans="1:5" ht="15.75" customHeight="1" x14ac:dyDescent="0.35">
      <c r="A37" s="10" t="s">
        <v>5196</v>
      </c>
      <c r="B37" s="10" t="s">
        <v>156</v>
      </c>
      <c r="C37" s="10" t="s">
        <v>157</v>
      </c>
      <c r="D37" s="11">
        <v>7559</v>
      </c>
      <c r="E37" s="10"/>
    </row>
    <row r="38" spans="1:5" ht="15.75" customHeight="1" x14ac:dyDescent="0.35">
      <c r="A38" s="8" t="s">
        <v>5198</v>
      </c>
      <c r="B38" s="8" t="s">
        <v>160</v>
      </c>
      <c r="C38" s="8" t="s">
        <v>161</v>
      </c>
      <c r="D38" s="9">
        <v>4442</v>
      </c>
      <c r="E38" s="8" t="s">
        <v>5199</v>
      </c>
    </row>
    <row r="39" spans="1:5" ht="15.75" customHeight="1" x14ac:dyDescent="0.35">
      <c r="A39" s="10" t="s">
        <v>5198</v>
      </c>
      <c r="B39" s="10" t="s">
        <v>164</v>
      </c>
      <c r="C39" s="10" t="s">
        <v>165</v>
      </c>
      <c r="D39" s="11">
        <v>4698</v>
      </c>
      <c r="E39" s="10"/>
    </row>
    <row r="40" spans="1:5" ht="15.75" customHeight="1" x14ac:dyDescent="0.35">
      <c r="A40" s="8" t="s">
        <v>5198</v>
      </c>
      <c r="B40" s="8" t="s">
        <v>168</v>
      </c>
      <c r="C40" s="8" t="s">
        <v>169</v>
      </c>
      <c r="D40" s="9">
        <v>5364</v>
      </c>
      <c r="E40" s="8"/>
    </row>
    <row r="41" spans="1:5" ht="15.75" customHeight="1" x14ac:dyDescent="0.35">
      <c r="A41" s="10" t="s">
        <v>5198</v>
      </c>
      <c r="B41" s="10" t="s">
        <v>172</v>
      </c>
      <c r="C41" s="10" t="s">
        <v>173</v>
      </c>
      <c r="D41" s="11">
        <v>5605</v>
      </c>
      <c r="E41" s="10"/>
    </row>
    <row r="42" spans="1:5" ht="15.75" customHeight="1" x14ac:dyDescent="0.35">
      <c r="A42" s="8" t="s">
        <v>5198</v>
      </c>
      <c r="B42" s="8" t="s">
        <v>176</v>
      </c>
      <c r="C42" s="8" t="s">
        <v>177</v>
      </c>
      <c r="D42" s="9">
        <v>6504</v>
      </c>
      <c r="E42" s="8"/>
    </row>
    <row r="43" spans="1:5" ht="15.75" customHeight="1" x14ac:dyDescent="0.35">
      <c r="A43" s="10" t="s">
        <v>5198</v>
      </c>
      <c r="B43" s="10" t="s">
        <v>180</v>
      </c>
      <c r="C43" s="10" t="s">
        <v>181</v>
      </c>
      <c r="D43" s="11">
        <v>6745</v>
      </c>
      <c r="E43" s="10"/>
    </row>
    <row r="44" spans="1:5" ht="15.75" customHeight="1" x14ac:dyDescent="0.35">
      <c r="A44" s="8" t="s">
        <v>5200</v>
      </c>
      <c r="B44" s="8" t="s">
        <v>184</v>
      </c>
      <c r="C44" s="8" t="s">
        <v>185</v>
      </c>
      <c r="D44" s="9">
        <v>907</v>
      </c>
      <c r="E44" s="8"/>
    </row>
    <row r="45" spans="1:5" ht="15.75" customHeight="1" x14ac:dyDescent="0.35">
      <c r="A45" s="10" t="s">
        <v>5200</v>
      </c>
      <c r="B45" s="10" t="s">
        <v>188</v>
      </c>
      <c r="C45" s="10" t="s">
        <v>189</v>
      </c>
      <c r="D45" s="11">
        <v>20</v>
      </c>
      <c r="E45" s="10"/>
    </row>
    <row r="46" spans="1:5" ht="15.75" customHeight="1" x14ac:dyDescent="0.35">
      <c r="A46" s="8" t="s">
        <v>5201</v>
      </c>
      <c r="B46" s="8" t="s">
        <v>192</v>
      </c>
      <c r="C46" s="8" t="s">
        <v>193</v>
      </c>
      <c r="D46" s="9">
        <v>1260</v>
      </c>
      <c r="E46" s="8"/>
    </row>
    <row r="47" spans="1:5" ht="15.75" customHeight="1" x14ac:dyDescent="0.35">
      <c r="A47" s="10" t="s">
        <v>5201</v>
      </c>
      <c r="B47" s="10" t="s">
        <v>196</v>
      </c>
      <c r="C47" s="10" t="s">
        <v>197</v>
      </c>
      <c r="D47" s="11">
        <v>835</v>
      </c>
      <c r="E47" s="10"/>
    </row>
    <row r="48" spans="1:5" ht="15.75" customHeight="1" x14ac:dyDescent="0.35">
      <c r="A48" s="8" t="s">
        <v>5201</v>
      </c>
      <c r="B48" s="8" t="s">
        <v>200</v>
      </c>
      <c r="C48" s="8" t="s">
        <v>201</v>
      </c>
      <c r="D48" s="9">
        <v>877</v>
      </c>
      <c r="E48" s="8"/>
    </row>
    <row r="49" spans="1:5" ht="15.75" customHeight="1" x14ac:dyDescent="0.35">
      <c r="A49" s="10" t="s">
        <v>5201</v>
      </c>
      <c r="B49" s="10" t="s">
        <v>204</v>
      </c>
      <c r="C49" s="10" t="s">
        <v>205</v>
      </c>
      <c r="D49" s="11">
        <v>599</v>
      </c>
      <c r="E49" s="10"/>
    </row>
    <row r="50" spans="1:5" ht="15.75" customHeight="1" x14ac:dyDescent="0.35">
      <c r="A50" s="8" t="s">
        <v>5201</v>
      </c>
      <c r="B50" s="8" t="s">
        <v>208</v>
      </c>
      <c r="C50" s="8" t="s">
        <v>209</v>
      </c>
      <c r="D50" s="9">
        <v>7000</v>
      </c>
      <c r="E50" s="8"/>
    </row>
    <row r="51" spans="1:5" ht="15.75" customHeight="1" x14ac:dyDescent="0.35">
      <c r="A51" s="10" t="s">
        <v>5201</v>
      </c>
      <c r="B51" s="10" t="s">
        <v>212</v>
      </c>
      <c r="C51" s="10" t="s">
        <v>213</v>
      </c>
      <c r="D51" s="11">
        <v>168</v>
      </c>
      <c r="E51" s="10"/>
    </row>
    <row r="52" spans="1:5" ht="15.75" customHeight="1" x14ac:dyDescent="0.35">
      <c r="A52" s="8" t="s">
        <v>5201</v>
      </c>
      <c r="B52" s="8" t="s">
        <v>216</v>
      </c>
      <c r="C52" s="8" t="s">
        <v>217</v>
      </c>
      <c r="D52" s="9">
        <v>231</v>
      </c>
      <c r="E52" s="8"/>
    </row>
    <row r="53" spans="1:5" ht="15.75" customHeight="1" x14ac:dyDescent="0.35">
      <c r="A53" s="10" t="s">
        <v>5202</v>
      </c>
      <c r="B53" s="10" t="s">
        <v>220</v>
      </c>
      <c r="C53" s="10" t="s">
        <v>221</v>
      </c>
      <c r="D53" s="11">
        <v>347</v>
      </c>
      <c r="E53" s="10"/>
    </row>
    <row r="54" spans="1:5" ht="15.75" customHeight="1" x14ac:dyDescent="0.35">
      <c r="A54" s="8" t="s">
        <v>5202</v>
      </c>
      <c r="B54" s="8" t="s">
        <v>224</v>
      </c>
      <c r="C54" s="8" t="s">
        <v>225</v>
      </c>
      <c r="D54" s="9">
        <v>347</v>
      </c>
      <c r="E54" s="8"/>
    </row>
    <row r="55" spans="1:5" ht="15.75" customHeight="1" x14ac:dyDescent="0.35">
      <c r="A55" s="10" t="s">
        <v>5202</v>
      </c>
      <c r="B55" s="10" t="s">
        <v>228</v>
      </c>
      <c r="C55" s="10" t="s">
        <v>229</v>
      </c>
      <c r="D55" s="11">
        <v>125</v>
      </c>
      <c r="E55" s="10"/>
    </row>
    <row r="56" spans="1:5" ht="15.75" customHeight="1" x14ac:dyDescent="0.35">
      <c r="A56" s="8" t="s">
        <v>5202</v>
      </c>
      <c r="B56" s="8" t="s">
        <v>232</v>
      </c>
      <c r="C56" s="8" t="s">
        <v>233</v>
      </c>
      <c r="D56" s="9">
        <v>210</v>
      </c>
      <c r="E56" s="8"/>
    </row>
    <row r="57" spans="1:5" ht="15.75" customHeight="1" x14ac:dyDescent="0.35">
      <c r="A57" s="10" t="s">
        <v>5202</v>
      </c>
      <c r="B57" s="10" t="s">
        <v>236</v>
      </c>
      <c r="C57" s="10" t="s">
        <v>237</v>
      </c>
      <c r="D57" s="11">
        <v>305</v>
      </c>
      <c r="E57" s="10"/>
    </row>
    <row r="58" spans="1:5" ht="15.75" customHeight="1" x14ac:dyDescent="0.35">
      <c r="A58" s="8" t="s">
        <v>5202</v>
      </c>
      <c r="B58" s="8" t="s">
        <v>240</v>
      </c>
      <c r="C58" s="8" t="s">
        <v>241</v>
      </c>
      <c r="D58" s="9">
        <v>15</v>
      </c>
      <c r="E58" s="8"/>
    </row>
    <row r="59" spans="1:5" ht="15.75" customHeight="1" x14ac:dyDescent="0.35">
      <c r="A59" s="10" t="s">
        <v>5202</v>
      </c>
      <c r="B59" s="10" t="s">
        <v>244</v>
      </c>
      <c r="C59" s="10" t="s">
        <v>245</v>
      </c>
      <c r="D59" s="11">
        <v>137</v>
      </c>
      <c r="E59" s="10"/>
    </row>
    <row r="60" spans="1:5" ht="15.75" customHeight="1" x14ac:dyDescent="0.35">
      <c r="A60" s="8" t="s">
        <v>5202</v>
      </c>
      <c r="B60" s="8" t="s">
        <v>248</v>
      </c>
      <c r="C60" s="8" t="s">
        <v>249</v>
      </c>
      <c r="D60" s="9">
        <v>185</v>
      </c>
      <c r="E60" s="8"/>
    </row>
    <row r="61" spans="1:5" ht="15.75" customHeight="1" x14ac:dyDescent="0.35">
      <c r="A61" s="10" t="s">
        <v>5203</v>
      </c>
      <c r="B61" s="10" t="s">
        <v>252</v>
      </c>
      <c r="C61" s="10" t="s">
        <v>253</v>
      </c>
      <c r="D61" s="11">
        <v>277</v>
      </c>
      <c r="E61" s="10" t="s">
        <v>5204</v>
      </c>
    </row>
    <row r="62" spans="1:5" ht="15.75" customHeight="1" x14ac:dyDescent="0.35">
      <c r="A62" s="8" t="s">
        <v>5203</v>
      </c>
      <c r="B62" s="8" t="s">
        <v>256</v>
      </c>
      <c r="C62" s="8" t="s">
        <v>257</v>
      </c>
      <c r="D62" s="9">
        <v>102</v>
      </c>
      <c r="E62" s="8" t="s">
        <v>5205</v>
      </c>
    </row>
    <row r="63" spans="1:5" ht="15.75" customHeight="1" x14ac:dyDescent="0.35">
      <c r="A63" s="10" t="s">
        <v>5203</v>
      </c>
      <c r="B63" s="10" t="s">
        <v>260</v>
      </c>
      <c r="C63" s="10" t="s">
        <v>261</v>
      </c>
      <c r="D63" s="11">
        <v>120</v>
      </c>
      <c r="E63" s="10" t="s">
        <v>5205</v>
      </c>
    </row>
    <row r="64" spans="1:5" ht="15.75" customHeight="1" x14ac:dyDescent="0.35">
      <c r="A64" s="8" t="s">
        <v>5203</v>
      </c>
      <c r="B64" s="8" t="s">
        <v>264</v>
      </c>
      <c r="C64" s="8" t="s">
        <v>265</v>
      </c>
      <c r="D64" s="9">
        <v>120</v>
      </c>
      <c r="E64" s="8" t="s">
        <v>5205</v>
      </c>
    </row>
    <row r="65" spans="1:5" ht="15.75" customHeight="1" x14ac:dyDescent="0.35">
      <c r="A65" s="10" t="s">
        <v>5203</v>
      </c>
      <c r="B65" s="10" t="s">
        <v>268</v>
      </c>
      <c r="C65" s="10" t="s">
        <v>269</v>
      </c>
      <c r="D65" s="11">
        <v>78</v>
      </c>
      <c r="E65" s="10"/>
    </row>
    <row r="66" spans="1:5" ht="15.75" customHeight="1" x14ac:dyDescent="0.35">
      <c r="A66" s="8" t="s">
        <v>5203</v>
      </c>
      <c r="B66" s="8" t="s">
        <v>272</v>
      </c>
      <c r="C66" s="8" t="s">
        <v>273</v>
      </c>
      <c r="D66" s="9">
        <v>85</v>
      </c>
      <c r="E66" s="8"/>
    </row>
    <row r="67" spans="1:5" ht="15.75" customHeight="1" x14ac:dyDescent="0.35">
      <c r="A67" s="10" t="s">
        <v>5203</v>
      </c>
      <c r="B67" s="10" t="s">
        <v>276</v>
      </c>
      <c r="C67" s="10" t="s">
        <v>277</v>
      </c>
      <c r="D67" s="11">
        <v>54</v>
      </c>
      <c r="E67" s="10"/>
    </row>
    <row r="68" spans="1:5" ht="15.75" customHeight="1" x14ac:dyDescent="0.35">
      <c r="A68" s="8" t="s">
        <v>5203</v>
      </c>
      <c r="B68" s="8" t="s">
        <v>280</v>
      </c>
      <c r="C68" s="8" t="s">
        <v>281</v>
      </c>
      <c r="D68" s="9">
        <v>19.25</v>
      </c>
      <c r="E68" s="8"/>
    </row>
    <row r="69" spans="1:5" ht="15.75" customHeight="1" x14ac:dyDescent="0.35">
      <c r="A69" s="10" t="s">
        <v>5206</v>
      </c>
      <c r="B69" s="10" t="s">
        <v>284</v>
      </c>
      <c r="C69" s="10" t="s">
        <v>285</v>
      </c>
      <c r="D69" s="11">
        <v>165</v>
      </c>
      <c r="E69" s="10"/>
    </row>
    <row r="70" spans="1:5" ht="15.75" customHeight="1" x14ac:dyDescent="0.35">
      <c r="A70" s="8" t="s">
        <v>5206</v>
      </c>
      <c r="B70" s="8" t="s">
        <v>288</v>
      </c>
      <c r="C70" s="8" t="s">
        <v>289</v>
      </c>
      <c r="D70" s="9">
        <v>195</v>
      </c>
      <c r="E70" s="8"/>
    </row>
    <row r="71" spans="1:5" ht="15.75" customHeight="1" x14ac:dyDescent="0.35">
      <c r="A71" s="10" t="s">
        <v>5206</v>
      </c>
      <c r="B71" s="10" t="s">
        <v>292</v>
      </c>
      <c r="C71" s="10" t="s">
        <v>293</v>
      </c>
      <c r="D71" s="11">
        <v>175</v>
      </c>
      <c r="E71" s="10"/>
    </row>
    <row r="72" spans="1:5" ht="15.75" customHeight="1" x14ac:dyDescent="0.35">
      <c r="A72" s="8" t="s">
        <v>5206</v>
      </c>
      <c r="B72" s="8" t="s">
        <v>296</v>
      </c>
      <c r="C72" s="8" t="s">
        <v>297</v>
      </c>
      <c r="D72" s="9">
        <v>185</v>
      </c>
      <c r="E72" s="8"/>
    </row>
    <row r="73" spans="1:5" ht="15.75" customHeight="1" x14ac:dyDescent="0.35">
      <c r="A73" s="10" t="s">
        <v>5206</v>
      </c>
      <c r="B73" s="10" t="s">
        <v>300</v>
      </c>
      <c r="C73" s="10" t="s">
        <v>301</v>
      </c>
      <c r="D73" s="11">
        <v>185</v>
      </c>
      <c r="E73" s="10"/>
    </row>
    <row r="74" spans="1:5" ht="15.75" customHeight="1" x14ac:dyDescent="0.35">
      <c r="A74" s="8" t="s">
        <v>5206</v>
      </c>
      <c r="B74" s="8" t="s">
        <v>304</v>
      </c>
      <c r="C74" s="8" t="s">
        <v>305</v>
      </c>
      <c r="D74" s="9">
        <v>185</v>
      </c>
      <c r="E74" s="8"/>
    </row>
    <row r="75" spans="1:5" ht="15.75" customHeight="1" x14ac:dyDescent="0.35">
      <c r="A75" s="10" t="s">
        <v>5206</v>
      </c>
      <c r="B75" s="10" t="s">
        <v>308</v>
      </c>
      <c r="C75" s="10" t="s">
        <v>309</v>
      </c>
      <c r="D75" s="11">
        <v>145</v>
      </c>
      <c r="E75" s="10"/>
    </row>
    <row r="76" spans="1:5" ht="15.75" customHeight="1" x14ac:dyDescent="0.35">
      <c r="A76" s="8" t="s">
        <v>5207</v>
      </c>
      <c r="B76" s="8" t="s">
        <v>312</v>
      </c>
      <c r="C76" s="8" t="s">
        <v>313</v>
      </c>
      <c r="D76" s="9">
        <v>710</v>
      </c>
      <c r="E76" s="8"/>
    </row>
    <row r="77" spans="1:5" ht="15.75" customHeight="1" x14ac:dyDescent="0.35">
      <c r="A77" s="10" t="s">
        <v>5207</v>
      </c>
      <c r="B77" s="10" t="s">
        <v>316</v>
      </c>
      <c r="C77" s="10" t="s">
        <v>317</v>
      </c>
      <c r="D77" s="11">
        <v>710</v>
      </c>
      <c r="E77" s="10"/>
    </row>
    <row r="78" spans="1:5" ht="15.75" customHeight="1" x14ac:dyDescent="0.35">
      <c r="A78" s="8" t="s">
        <v>5207</v>
      </c>
      <c r="B78" s="8" t="s">
        <v>320</v>
      </c>
      <c r="C78" s="8" t="s">
        <v>321</v>
      </c>
      <c r="D78" s="9">
        <v>137</v>
      </c>
      <c r="E78" s="8"/>
    </row>
    <row r="79" spans="1:5" ht="15.75" customHeight="1" x14ac:dyDescent="0.35">
      <c r="A79" s="10" t="s">
        <v>5207</v>
      </c>
      <c r="B79" s="10" t="s">
        <v>324</v>
      </c>
      <c r="C79" s="10" t="s">
        <v>325</v>
      </c>
      <c r="D79" s="11">
        <v>131</v>
      </c>
      <c r="E79" s="10"/>
    </row>
    <row r="80" spans="1:5" ht="15.75" customHeight="1" x14ac:dyDescent="0.35">
      <c r="A80" s="8" t="s">
        <v>5207</v>
      </c>
      <c r="B80" s="8" t="s">
        <v>328</v>
      </c>
      <c r="C80" s="8" t="s">
        <v>329</v>
      </c>
      <c r="D80" s="9">
        <v>137</v>
      </c>
      <c r="E80" s="8"/>
    </row>
    <row r="81" spans="1:5" ht="15.75" customHeight="1" x14ac:dyDescent="0.35">
      <c r="A81" s="10" t="s">
        <v>5207</v>
      </c>
      <c r="B81" s="10" t="s">
        <v>332</v>
      </c>
      <c r="C81" s="10" t="s">
        <v>333</v>
      </c>
      <c r="D81" s="11">
        <v>3780</v>
      </c>
      <c r="E81" s="10"/>
    </row>
    <row r="82" spans="1:5" ht="15.75" customHeight="1" x14ac:dyDescent="0.35">
      <c r="A82" s="8" t="s">
        <v>5207</v>
      </c>
      <c r="B82" s="8" t="s">
        <v>336</v>
      </c>
      <c r="C82" s="8" t="s">
        <v>337</v>
      </c>
      <c r="D82" s="9">
        <v>4255</v>
      </c>
      <c r="E82" s="8" t="s">
        <v>5208</v>
      </c>
    </row>
    <row r="83" spans="1:5" ht="15.75" customHeight="1" x14ac:dyDescent="0.35">
      <c r="A83" s="10" t="s">
        <v>5209</v>
      </c>
      <c r="B83" s="10" t="s">
        <v>340</v>
      </c>
      <c r="C83" s="10" t="s">
        <v>341</v>
      </c>
      <c r="D83" s="11">
        <v>113.5</v>
      </c>
      <c r="E83" s="10"/>
    </row>
    <row r="84" spans="1:5" ht="15.75" customHeight="1" x14ac:dyDescent="0.35">
      <c r="A84" s="8" t="s">
        <v>5209</v>
      </c>
      <c r="B84" s="8" t="s">
        <v>344</v>
      </c>
      <c r="C84" s="8" t="s">
        <v>345</v>
      </c>
      <c r="D84" s="9">
        <v>119</v>
      </c>
      <c r="E84" s="8"/>
    </row>
    <row r="85" spans="1:5" ht="15.75" customHeight="1" x14ac:dyDescent="0.35">
      <c r="A85" s="10" t="s">
        <v>5209</v>
      </c>
      <c r="B85" s="10" t="s">
        <v>348</v>
      </c>
      <c r="C85" s="10" t="s">
        <v>349</v>
      </c>
      <c r="D85" s="11">
        <v>125</v>
      </c>
      <c r="E85" s="10"/>
    </row>
    <row r="86" spans="1:5" ht="15.75" customHeight="1" x14ac:dyDescent="0.35">
      <c r="A86" s="8" t="s">
        <v>5209</v>
      </c>
      <c r="B86" s="8" t="s">
        <v>352</v>
      </c>
      <c r="C86" s="8" t="s">
        <v>353</v>
      </c>
      <c r="D86" s="9">
        <v>201</v>
      </c>
      <c r="E86" s="8" t="s">
        <v>5210</v>
      </c>
    </row>
    <row r="87" spans="1:5" ht="15.75" customHeight="1" x14ac:dyDescent="0.35">
      <c r="A87" s="10" t="s">
        <v>5209</v>
      </c>
      <c r="B87" s="10" t="s">
        <v>356</v>
      </c>
      <c r="C87" s="10" t="s">
        <v>357</v>
      </c>
      <c r="D87" s="11">
        <v>90</v>
      </c>
      <c r="E87" s="10"/>
    </row>
    <row r="88" spans="1:5" ht="15.75" customHeight="1" x14ac:dyDescent="0.35">
      <c r="A88" s="8" t="s">
        <v>5209</v>
      </c>
      <c r="B88" s="8" t="s">
        <v>360</v>
      </c>
      <c r="C88" s="8" t="s">
        <v>361</v>
      </c>
      <c r="D88" s="9">
        <v>90</v>
      </c>
      <c r="E88" s="8"/>
    </row>
    <row r="89" spans="1:5" ht="15.75" customHeight="1" x14ac:dyDescent="0.35">
      <c r="A89" s="10" t="s">
        <v>5209</v>
      </c>
      <c r="B89" s="10" t="s">
        <v>364</v>
      </c>
      <c r="C89" s="10" t="s">
        <v>365</v>
      </c>
      <c r="D89" s="11">
        <v>156</v>
      </c>
      <c r="E89" s="10"/>
    </row>
    <row r="90" spans="1:5" ht="15.75" customHeight="1" x14ac:dyDescent="0.35">
      <c r="A90" s="8" t="s">
        <v>5209</v>
      </c>
      <c r="B90" s="8" t="s">
        <v>368</v>
      </c>
      <c r="C90" s="8" t="s">
        <v>369</v>
      </c>
      <c r="D90" s="9">
        <v>156</v>
      </c>
      <c r="E90" s="8"/>
    </row>
    <row r="91" spans="1:5" ht="15.75" customHeight="1" x14ac:dyDescent="0.35">
      <c r="A91" s="10" t="s">
        <v>5209</v>
      </c>
      <c r="B91" s="10" t="s">
        <v>372</v>
      </c>
      <c r="C91" s="10" t="s">
        <v>373</v>
      </c>
      <c r="D91" s="11">
        <v>479</v>
      </c>
      <c r="E91" s="10"/>
    </row>
    <row r="92" spans="1:5" ht="15.75" customHeight="1" x14ac:dyDescent="0.35">
      <c r="A92" s="8" t="s">
        <v>5209</v>
      </c>
      <c r="B92" s="8" t="s">
        <v>376</v>
      </c>
      <c r="C92" s="8" t="s">
        <v>377</v>
      </c>
      <c r="D92" s="9">
        <v>379</v>
      </c>
      <c r="E92" s="8"/>
    </row>
    <row r="93" spans="1:5" ht="15.75" customHeight="1" x14ac:dyDescent="0.35">
      <c r="A93" s="10" t="s">
        <v>5209</v>
      </c>
      <c r="B93" s="10" t="s">
        <v>380</v>
      </c>
      <c r="C93" s="10" t="s">
        <v>381</v>
      </c>
      <c r="D93" s="11">
        <v>222</v>
      </c>
      <c r="E93" s="10" t="s">
        <v>5211</v>
      </c>
    </row>
    <row r="94" spans="1:5" ht="15.75" customHeight="1" x14ac:dyDescent="0.35">
      <c r="A94" s="8" t="s">
        <v>5209</v>
      </c>
      <c r="B94" s="8" t="s">
        <v>384</v>
      </c>
      <c r="C94" s="8" t="s">
        <v>385</v>
      </c>
      <c r="D94" s="9">
        <v>396</v>
      </c>
      <c r="E94" s="8" t="s">
        <v>5211</v>
      </c>
    </row>
    <row r="95" spans="1:5" ht="15.75" customHeight="1" x14ac:dyDescent="0.35">
      <c r="A95" s="10" t="s">
        <v>5212</v>
      </c>
      <c r="B95" s="10" t="s">
        <v>388</v>
      </c>
      <c r="C95" s="10" t="s">
        <v>389</v>
      </c>
      <c r="D95" s="11">
        <v>12.25</v>
      </c>
      <c r="E95" s="10"/>
    </row>
    <row r="96" spans="1:5" ht="15.75" customHeight="1" x14ac:dyDescent="0.35">
      <c r="A96" s="8" t="s">
        <v>5212</v>
      </c>
      <c r="B96" s="8" t="s">
        <v>392</v>
      </c>
      <c r="C96" s="8" t="s">
        <v>393</v>
      </c>
      <c r="D96" s="9">
        <v>19.25</v>
      </c>
      <c r="E96" s="8"/>
    </row>
    <row r="97" spans="1:5" ht="15.75" customHeight="1" x14ac:dyDescent="0.35">
      <c r="A97" s="10" t="s">
        <v>5212</v>
      </c>
      <c r="B97" s="10" t="s">
        <v>396</v>
      </c>
      <c r="C97" s="10" t="s">
        <v>397</v>
      </c>
      <c r="D97" s="11">
        <v>14</v>
      </c>
      <c r="E97" s="10"/>
    </row>
    <row r="98" spans="1:5" ht="15.75" customHeight="1" x14ac:dyDescent="0.35">
      <c r="A98" s="8" t="s">
        <v>5212</v>
      </c>
      <c r="B98" s="8" t="s">
        <v>400</v>
      </c>
      <c r="C98" s="8" t="s">
        <v>401</v>
      </c>
      <c r="D98" s="9">
        <v>20</v>
      </c>
      <c r="E98" s="8"/>
    </row>
    <row r="99" spans="1:5" ht="15.75" customHeight="1" x14ac:dyDescent="0.35">
      <c r="A99" s="10" t="s">
        <v>5212</v>
      </c>
      <c r="B99" s="10" t="s">
        <v>404</v>
      </c>
      <c r="C99" s="10" t="s">
        <v>405</v>
      </c>
      <c r="D99" s="11">
        <v>53</v>
      </c>
      <c r="E99" s="10"/>
    </row>
    <row r="100" spans="1:5" ht="15.75" customHeight="1" x14ac:dyDescent="0.35">
      <c r="A100" s="8" t="s">
        <v>5213</v>
      </c>
      <c r="B100" s="8" t="s">
        <v>408</v>
      </c>
      <c r="C100" s="8" t="s">
        <v>409</v>
      </c>
      <c r="D100" s="9">
        <v>253</v>
      </c>
      <c r="E100" s="8"/>
    </row>
    <row r="101" spans="1:5" ht="15.75" customHeight="1" x14ac:dyDescent="0.35">
      <c r="A101" s="10" t="s">
        <v>5213</v>
      </c>
      <c r="B101" s="10" t="s">
        <v>412</v>
      </c>
      <c r="C101" s="10" t="s">
        <v>413</v>
      </c>
      <c r="D101" s="11">
        <v>349</v>
      </c>
      <c r="E101" s="10"/>
    </row>
    <row r="102" spans="1:5" ht="15.75" customHeight="1" x14ac:dyDescent="0.35">
      <c r="A102" s="8" t="s">
        <v>5213</v>
      </c>
      <c r="B102" s="8" t="s">
        <v>416</v>
      </c>
      <c r="C102" s="8" t="s">
        <v>417</v>
      </c>
      <c r="D102" s="9">
        <v>19</v>
      </c>
      <c r="E102" s="8"/>
    </row>
    <row r="103" spans="1:5" ht="15.75" customHeight="1" x14ac:dyDescent="0.35">
      <c r="A103" s="10" t="s">
        <v>5213</v>
      </c>
      <c r="B103" s="10" t="s">
        <v>420</v>
      </c>
      <c r="C103" s="10" t="s">
        <v>421</v>
      </c>
      <c r="D103" s="11">
        <v>27.5</v>
      </c>
      <c r="E103" s="10"/>
    </row>
    <row r="104" spans="1:5" ht="15.75" customHeight="1" x14ac:dyDescent="0.35">
      <c r="A104" s="8" t="s">
        <v>5213</v>
      </c>
      <c r="B104" s="8" t="s">
        <v>424</v>
      </c>
      <c r="C104" s="8" t="s">
        <v>425</v>
      </c>
      <c r="D104" s="9">
        <v>39.5</v>
      </c>
      <c r="E104" s="8"/>
    </row>
    <row r="105" spans="1:5" ht="15.75" customHeight="1" x14ac:dyDescent="0.35">
      <c r="A105" s="10" t="s">
        <v>5213</v>
      </c>
      <c r="B105" s="10" t="s">
        <v>428</v>
      </c>
      <c r="C105" s="10" t="s">
        <v>429</v>
      </c>
      <c r="D105" s="11">
        <v>68</v>
      </c>
      <c r="E105" s="10"/>
    </row>
    <row r="106" spans="1:5" ht="15.75" customHeight="1" x14ac:dyDescent="0.35">
      <c r="A106" s="8" t="s">
        <v>5214</v>
      </c>
      <c r="B106" s="8" t="s">
        <v>432</v>
      </c>
      <c r="C106" s="8" t="s">
        <v>433</v>
      </c>
      <c r="D106" s="9">
        <v>72</v>
      </c>
      <c r="E106" s="8"/>
    </row>
    <row r="107" spans="1:5" ht="15.75" customHeight="1" x14ac:dyDescent="0.35">
      <c r="A107" s="10" t="s">
        <v>5214</v>
      </c>
      <c r="B107" s="10" t="s">
        <v>436</v>
      </c>
      <c r="C107" s="10" t="s">
        <v>437</v>
      </c>
      <c r="D107" s="11">
        <v>72</v>
      </c>
      <c r="E107" s="10"/>
    </row>
    <row r="108" spans="1:5" ht="15.75" customHeight="1" x14ac:dyDescent="0.35">
      <c r="A108" s="8" t="s">
        <v>5214</v>
      </c>
      <c r="B108" s="8" t="s">
        <v>440</v>
      </c>
      <c r="C108" s="8" t="s">
        <v>441</v>
      </c>
      <c r="D108" s="9">
        <v>50.5</v>
      </c>
      <c r="E108" s="8"/>
    </row>
    <row r="109" spans="1:5" ht="15.75" customHeight="1" x14ac:dyDescent="0.35">
      <c r="A109" s="10" t="s">
        <v>5214</v>
      </c>
      <c r="B109" s="10" t="s">
        <v>444</v>
      </c>
      <c r="C109" s="10" t="s">
        <v>445</v>
      </c>
      <c r="D109" s="11">
        <v>50.5</v>
      </c>
      <c r="E109" s="10"/>
    </row>
    <row r="110" spans="1:5" ht="15.75" customHeight="1" x14ac:dyDescent="0.35">
      <c r="A110" s="8" t="s">
        <v>5214</v>
      </c>
      <c r="B110" s="8" t="s">
        <v>448</v>
      </c>
      <c r="C110" s="8" t="s">
        <v>449</v>
      </c>
      <c r="D110" s="9">
        <v>52.5</v>
      </c>
      <c r="E110" s="8"/>
    </row>
    <row r="111" spans="1:5" ht="15.75" customHeight="1" x14ac:dyDescent="0.35">
      <c r="A111" s="10" t="s">
        <v>5214</v>
      </c>
      <c r="B111" s="10" t="s">
        <v>452</v>
      </c>
      <c r="C111" s="10" t="s">
        <v>453</v>
      </c>
      <c r="D111" s="11">
        <v>52.5</v>
      </c>
      <c r="E111" s="10"/>
    </row>
    <row r="112" spans="1:5" ht="15.75" customHeight="1" x14ac:dyDescent="0.35">
      <c r="A112" s="8" t="s">
        <v>5214</v>
      </c>
      <c r="B112" s="8" t="s">
        <v>456</v>
      </c>
      <c r="C112" s="8" t="s">
        <v>457</v>
      </c>
      <c r="D112" s="9">
        <v>120.5</v>
      </c>
      <c r="E112" s="8"/>
    </row>
    <row r="113" spans="1:5" ht="15.75" customHeight="1" x14ac:dyDescent="0.35">
      <c r="A113" s="10" t="s">
        <v>5214</v>
      </c>
      <c r="B113" s="10" t="s">
        <v>460</v>
      </c>
      <c r="C113" s="10" t="s">
        <v>461</v>
      </c>
      <c r="D113" s="11">
        <v>11</v>
      </c>
      <c r="E113" s="10"/>
    </row>
    <row r="114" spans="1:5" ht="15.75" customHeight="1" x14ac:dyDescent="0.35">
      <c r="A114" s="8" t="s">
        <v>5214</v>
      </c>
      <c r="B114" s="8" t="s">
        <v>464</v>
      </c>
      <c r="C114" s="8" t="s">
        <v>465</v>
      </c>
      <c r="D114" s="9">
        <v>18</v>
      </c>
      <c r="E114" s="8"/>
    </row>
    <row r="115" spans="1:5" ht="15.75" customHeight="1" x14ac:dyDescent="0.35">
      <c r="A115" s="10" t="s">
        <v>5215</v>
      </c>
      <c r="B115" s="10" t="s">
        <v>468</v>
      </c>
      <c r="C115" s="10" t="s">
        <v>469</v>
      </c>
      <c r="D115" s="11">
        <v>1625</v>
      </c>
      <c r="E115" s="10"/>
    </row>
    <row r="116" spans="1:5" ht="15.75" customHeight="1" x14ac:dyDescent="0.35">
      <c r="A116" s="8" t="s">
        <v>5215</v>
      </c>
      <c r="B116" s="8" t="s">
        <v>472</v>
      </c>
      <c r="C116" s="8" t="s">
        <v>473</v>
      </c>
      <c r="D116" s="9">
        <v>453.5</v>
      </c>
      <c r="E116" s="8"/>
    </row>
    <row r="117" spans="1:5" ht="15.75" customHeight="1" x14ac:dyDescent="0.35">
      <c r="A117" s="10" t="s">
        <v>5215</v>
      </c>
      <c r="B117" s="10" t="s">
        <v>476</v>
      </c>
      <c r="C117" s="10" t="s">
        <v>477</v>
      </c>
      <c r="D117" s="11">
        <v>491.5</v>
      </c>
      <c r="E117" s="10"/>
    </row>
    <row r="118" spans="1:5" ht="15.75" customHeight="1" x14ac:dyDescent="0.35">
      <c r="A118" s="8" t="s">
        <v>5215</v>
      </c>
      <c r="B118" s="8" t="s">
        <v>480</v>
      </c>
      <c r="C118" s="8" t="s">
        <v>481</v>
      </c>
      <c r="D118" s="9">
        <v>1098.8</v>
      </c>
      <c r="E118" s="8"/>
    </row>
    <row r="119" spans="1:5" ht="15.75" customHeight="1" x14ac:dyDescent="0.35">
      <c r="A119" s="10" t="s">
        <v>5216</v>
      </c>
      <c r="B119" s="10" t="s">
        <v>484</v>
      </c>
      <c r="C119" s="10" t="s">
        <v>485</v>
      </c>
      <c r="D119" s="11">
        <v>361</v>
      </c>
      <c r="E119" s="10"/>
    </row>
    <row r="120" spans="1:5" ht="15.75" customHeight="1" x14ac:dyDescent="0.35">
      <c r="A120" s="8" t="s">
        <v>5216</v>
      </c>
      <c r="B120" s="8" t="s">
        <v>488</v>
      </c>
      <c r="C120" s="8" t="s">
        <v>489</v>
      </c>
      <c r="D120" s="9">
        <v>463</v>
      </c>
      <c r="E120" s="8"/>
    </row>
    <row r="121" spans="1:5" ht="15.75" customHeight="1" x14ac:dyDescent="0.35">
      <c r="A121" s="10" t="s">
        <v>5217</v>
      </c>
      <c r="B121" s="10" t="s">
        <v>492</v>
      </c>
      <c r="C121" s="10" t="s">
        <v>493</v>
      </c>
      <c r="D121" s="11">
        <v>4895.1000000000004</v>
      </c>
      <c r="E121" s="10"/>
    </row>
    <row r="122" spans="1:5" ht="15.75" customHeight="1" x14ac:dyDescent="0.35">
      <c r="A122" s="8" t="s">
        <v>5217</v>
      </c>
      <c r="B122" s="8" t="s">
        <v>496</v>
      </c>
      <c r="C122" s="8" t="s">
        <v>497</v>
      </c>
      <c r="D122" s="9">
        <v>5850</v>
      </c>
      <c r="E122" s="8"/>
    </row>
    <row r="123" spans="1:5" ht="15.75" customHeight="1" x14ac:dyDescent="0.35">
      <c r="A123" s="10" t="s">
        <v>5218</v>
      </c>
      <c r="B123" s="10" t="s">
        <v>500</v>
      </c>
      <c r="C123" s="10" t="s">
        <v>501</v>
      </c>
      <c r="D123" s="11">
        <v>120</v>
      </c>
      <c r="E123" s="10"/>
    </row>
    <row r="124" spans="1:5" ht="15.75" customHeight="1" x14ac:dyDescent="0.35">
      <c r="A124" s="8" t="s">
        <v>5218</v>
      </c>
      <c r="B124" s="8" t="s">
        <v>504</v>
      </c>
      <c r="C124" s="8" t="s">
        <v>505</v>
      </c>
      <c r="D124" s="9">
        <v>302</v>
      </c>
      <c r="E124" s="8"/>
    </row>
    <row r="125" spans="1:5" ht="15.75" customHeight="1" x14ac:dyDescent="0.35">
      <c r="A125" s="10" t="s">
        <v>5218</v>
      </c>
      <c r="B125" s="10" t="s">
        <v>508</v>
      </c>
      <c r="C125" s="10" t="s">
        <v>509</v>
      </c>
      <c r="D125" s="11">
        <v>44</v>
      </c>
      <c r="E125" s="10"/>
    </row>
    <row r="126" spans="1:5" ht="15.75" customHeight="1" x14ac:dyDescent="0.35">
      <c r="A126" s="8" t="s">
        <v>5218</v>
      </c>
      <c r="B126" s="8" t="s">
        <v>512</v>
      </c>
      <c r="C126" s="8" t="s">
        <v>513</v>
      </c>
      <c r="D126" s="9">
        <v>54</v>
      </c>
      <c r="E126" s="8"/>
    </row>
    <row r="127" spans="1:5" ht="15.75" customHeight="1" x14ac:dyDescent="0.35">
      <c r="A127" s="10" t="s">
        <v>5218</v>
      </c>
      <c r="B127" s="10" t="s">
        <v>516</v>
      </c>
      <c r="C127" s="10" t="s">
        <v>517</v>
      </c>
      <c r="D127" s="11">
        <v>244.5</v>
      </c>
      <c r="E127" s="10"/>
    </row>
    <row r="128" spans="1:5" ht="15.75" customHeight="1" x14ac:dyDescent="0.35">
      <c r="A128" s="8" t="s">
        <v>5218</v>
      </c>
      <c r="B128" s="8" t="s">
        <v>520</v>
      </c>
      <c r="C128" s="8" t="s">
        <v>521</v>
      </c>
      <c r="D128" s="9">
        <v>75</v>
      </c>
      <c r="E128" s="8"/>
    </row>
    <row r="129" spans="1:5" ht="15.75" customHeight="1" x14ac:dyDescent="0.35">
      <c r="A129" s="10" t="s">
        <v>5218</v>
      </c>
      <c r="B129" s="10" t="s">
        <v>524</v>
      </c>
      <c r="C129" s="10" t="s">
        <v>525</v>
      </c>
      <c r="D129" s="11">
        <v>4.9000000000000004</v>
      </c>
      <c r="E129" s="10"/>
    </row>
    <row r="130" spans="1:5" ht="15.75" customHeight="1" x14ac:dyDescent="0.35">
      <c r="A130" s="8" t="s">
        <v>5218</v>
      </c>
      <c r="B130" s="8" t="s">
        <v>528</v>
      </c>
      <c r="C130" s="8" t="s">
        <v>529</v>
      </c>
      <c r="D130" s="9">
        <v>12</v>
      </c>
      <c r="E130" s="8"/>
    </row>
    <row r="131" spans="1:5" ht="15.75" customHeight="1" x14ac:dyDescent="0.35">
      <c r="A131" s="10" t="s">
        <v>5219</v>
      </c>
      <c r="B131" s="10" t="s">
        <v>532</v>
      </c>
      <c r="C131" s="10" t="s">
        <v>533</v>
      </c>
      <c r="D131" s="11">
        <v>217</v>
      </c>
      <c r="E131" s="10" t="s">
        <v>5220</v>
      </c>
    </row>
    <row r="132" spans="1:5" ht="15.75" customHeight="1" x14ac:dyDescent="0.35">
      <c r="A132" s="8" t="s">
        <v>5219</v>
      </c>
      <c r="B132" s="8" t="s">
        <v>536</v>
      </c>
      <c r="C132" s="8" t="s">
        <v>537</v>
      </c>
      <c r="D132" s="9">
        <v>210</v>
      </c>
      <c r="E132" s="8" t="s">
        <v>5220</v>
      </c>
    </row>
    <row r="133" spans="1:5" ht="15.75" customHeight="1" x14ac:dyDescent="0.35">
      <c r="A133" s="10" t="s">
        <v>5219</v>
      </c>
      <c r="B133" s="10" t="s">
        <v>540</v>
      </c>
      <c r="C133" s="10" t="s">
        <v>541</v>
      </c>
      <c r="D133" s="11">
        <v>241</v>
      </c>
      <c r="E133" s="10" t="s">
        <v>5221</v>
      </c>
    </row>
    <row r="134" spans="1:5" ht="15.75" customHeight="1" x14ac:dyDescent="0.35">
      <c r="A134" s="8" t="s">
        <v>5219</v>
      </c>
      <c r="B134" s="8" t="s">
        <v>544</v>
      </c>
      <c r="C134" s="8" t="s">
        <v>545</v>
      </c>
      <c r="D134" s="9">
        <v>113.5</v>
      </c>
      <c r="E134" s="8" t="s">
        <v>5222</v>
      </c>
    </row>
    <row r="135" spans="1:5" ht="15.75" customHeight="1" x14ac:dyDescent="0.35">
      <c r="A135" s="10" t="s">
        <v>5219</v>
      </c>
      <c r="B135" s="10" t="s">
        <v>548</v>
      </c>
      <c r="C135" s="10" t="s">
        <v>549</v>
      </c>
      <c r="D135" s="11">
        <v>128.5</v>
      </c>
      <c r="E135" s="10" t="s">
        <v>5222</v>
      </c>
    </row>
    <row r="136" spans="1:5" ht="15.75" customHeight="1" x14ac:dyDescent="0.35">
      <c r="A136" s="8" t="s">
        <v>5219</v>
      </c>
      <c r="B136" s="8" t="s">
        <v>552</v>
      </c>
      <c r="C136" s="8" t="s">
        <v>541</v>
      </c>
      <c r="D136" s="9">
        <v>181</v>
      </c>
      <c r="E136" s="8" t="s">
        <v>5222</v>
      </c>
    </row>
    <row r="137" spans="1:5" ht="15.75" customHeight="1" x14ac:dyDescent="0.35">
      <c r="A137" s="10" t="s">
        <v>5219</v>
      </c>
      <c r="B137" s="10" t="s">
        <v>555</v>
      </c>
      <c r="C137" s="10" t="s">
        <v>556</v>
      </c>
      <c r="D137" s="11">
        <v>181</v>
      </c>
      <c r="E137" s="10" t="s">
        <v>5222</v>
      </c>
    </row>
    <row r="138" spans="1:5" ht="15.75" customHeight="1" x14ac:dyDescent="0.35">
      <c r="A138" s="8" t="s">
        <v>5219</v>
      </c>
      <c r="B138" s="8" t="s">
        <v>559</v>
      </c>
      <c r="C138" s="8" t="s">
        <v>560</v>
      </c>
      <c r="D138" s="9">
        <v>99</v>
      </c>
      <c r="E138" s="8"/>
    </row>
    <row r="139" spans="1:5" ht="15.75" customHeight="1" x14ac:dyDescent="0.35">
      <c r="A139" s="10" t="s">
        <v>5219</v>
      </c>
      <c r="B139" s="10" t="s">
        <v>563</v>
      </c>
      <c r="C139" s="10" t="s">
        <v>564</v>
      </c>
      <c r="D139" s="11">
        <v>282</v>
      </c>
      <c r="E139" s="10" t="s">
        <v>5223</v>
      </c>
    </row>
    <row r="140" spans="1:5" ht="15.75" customHeight="1" x14ac:dyDescent="0.35">
      <c r="A140" s="8" t="s">
        <v>5219</v>
      </c>
      <c r="B140" s="8" t="s">
        <v>567</v>
      </c>
      <c r="C140" s="8" t="s">
        <v>568</v>
      </c>
      <c r="D140" s="9">
        <v>540</v>
      </c>
      <c r="E140" s="8" t="s">
        <v>5224</v>
      </c>
    </row>
    <row r="141" spans="1:5" ht="15.75" customHeight="1" x14ac:dyDescent="0.35">
      <c r="A141" s="10" t="s">
        <v>5219</v>
      </c>
      <c r="B141" s="10" t="s">
        <v>571</v>
      </c>
      <c r="C141" s="10" t="s">
        <v>572</v>
      </c>
      <c r="D141" s="11">
        <v>531</v>
      </c>
      <c r="E141" s="10" t="s">
        <v>5224</v>
      </c>
    </row>
    <row r="142" spans="1:5" ht="15.75" customHeight="1" x14ac:dyDescent="0.35">
      <c r="A142" s="8" t="s">
        <v>5219</v>
      </c>
      <c r="B142" s="8" t="s">
        <v>575</v>
      </c>
      <c r="C142" s="8" t="s">
        <v>576</v>
      </c>
      <c r="D142" s="9">
        <v>70</v>
      </c>
      <c r="E142" s="8"/>
    </row>
    <row r="143" spans="1:5" ht="15.75" customHeight="1" x14ac:dyDescent="0.35">
      <c r="A143" s="10" t="s">
        <v>5219</v>
      </c>
      <c r="B143" s="10" t="s">
        <v>579</v>
      </c>
      <c r="C143" s="10" t="s">
        <v>580</v>
      </c>
      <c r="D143" s="11">
        <v>70</v>
      </c>
      <c r="E143" s="10"/>
    </row>
    <row r="144" spans="1:5" ht="15.75" customHeight="1" x14ac:dyDescent="0.35">
      <c r="A144" s="8" t="s">
        <v>5219</v>
      </c>
      <c r="B144" s="8" t="s">
        <v>583</v>
      </c>
      <c r="C144" s="8" t="s">
        <v>584</v>
      </c>
      <c r="D144" s="9">
        <v>128</v>
      </c>
      <c r="E144" s="8"/>
    </row>
    <row r="145" spans="1:5" ht="15.75" customHeight="1" x14ac:dyDescent="0.35">
      <c r="A145" s="10" t="s">
        <v>5219</v>
      </c>
      <c r="B145" s="10" t="s">
        <v>587</v>
      </c>
      <c r="C145" s="10" t="s">
        <v>588</v>
      </c>
      <c r="D145" s="11">
        <v>123</v>
      </c>
      <c r="E145" s="10"/>
    </row>
    <row r="146" spans="1:5" ht="15.75" customHeight="1" x14ac:dyDescent="0.35">
      <c r="A146" s="8" t="s">
        <v>5219</v>
      </c>
      <c r="B146" s="8" t="s">
        <v>591</v>
      </c>
      <c r="C146" s="8" t="s">
        <v>592</v>
      </c>
      <c r="D146" s="9">
        <v>128</v>
      </c>
      <c r="E146" s="8"/>
    </row>
    <row r="147" spans="1:5" ht="15.75" customHeight="1" x14ac:dyDescent="0.35">
      <c r="A147" s="10" t="s">
        <v>5219</v>
      </c>
      <c r="B147" s="10" t="s">
        <v>595</v>
      </c>
      <c r="C147" s="10" t="s">
        <v>596</v>
      </c>
      <c r="D147" s="11">
        <v>253</v>
      </c>
      <c r="E147" s="10"/>
    </row>
    <row r="148" spans="1:5" ht="15.75" customHeight="1" x14ac:dyDescent="0.35">
      <c r="A148" s="8" t="s">
        <v>5225</v>
      </c>
      <c r="B148" s="8" t="s">
        <v>599</v>
      </c>
      <c r="C148" s="8" t="s">
        <v>600</v>
      </c>
      <c r="D148" s="9">
        <v>810</v>
      </c>
      <c r="E148" s="8"/>
    </row>
    <row r="149" spans="1:5" ht="15.75" customHeight="1" x14ac:dyDescent="0.35">
      <c r="A149" s="10" t="s">
        <v>5225</v>
      </c>
      <c r="B149" s="10" t="s">
        <v>603</v>
      </c>
      <c r="C149" s="10" t="s">
        <v>604</v>
      </c>
      <c r="D149" s="11">
        <v>1200</v>
      </c>
      <c r="E149" s="10"/>
    </row>
    <row r="150" spans="1:5" ht="15.75" customHeight="1" x14ac:dyDescent="0.35">
      <c r="A150" s="8" t="s">
        <v>5225</v>
      </c>
      <c r="B150" s="8" t="s">
        <v>607</v>
      </c>
      <c r="C150" s="8" t="s">
        <v>608</v>
      </c>
      <c r="D150" s="9">
        <v>1060</v>
      </c>
      <c r="E150" s="8"/>
    </row>
    <row r="151" spans="1:5" ht="15.75" customHeight="1" x14ac:dyDescent="0.35">
      <c r="A151" s="10" t="s">
        <v>5225</v>
      </c>
      <c r="B151" s="10" t="s">
        <v>611</v>
      </c>
      <c r="C151" s="10" t="s">
        <v>612</v>
      </c>
      <c r="D151" s="11">
        <v>1450</v>
      </c>
      <c r="E151" s="10"/>
    </row>
    <row r="152" spans="1:5" ht="15.75" customHeight="1" x14ac:dyDescent="0.35">
      <c r="A152" s="8" t="s">
        <v>5226</v>
      </c>
      <c r="B152" s="8" t="s">
        <v>615</v>
      </c>
      <c r="C152" s="8" t="s">
        <v>616</v>
      </c>
      <c r="D152" s="9">
        <v>72</v>
      </c>
      <c r="E152" s="8"/>
    </row>
    <row r="153" spans="1:5" ht="15.75" customHeight="1" x14ac:dyDescent="0.35">
      <c r="A153" s="10" t="s">
        <v>5226</v>
      </c>
      <c r="B153" s="10" t="s">
        <v>619</v>
      </c>
      <c r="C153" s="10" t="s">
        <v>620</v>
      </c>
      <c r="D153" s="11">
        <v>216</v>
      </c>
      <c r="E153" s="10"/>
    </row>
    <row r="154" spans="1:5" ht="15.75" customHeight="1" x14ac:dyDescent="0.35">
      <c r="A154" s="8" t="s">
        <v>5226</v>
      </c>
      <c r="B154" s="8" t="s">
        <v>623</v>
      </c>
      <c r="C154" s="8" t="s">
        <v>624</v>
      </c>
      <c r="D154" s="9">
        <v>168</v>
      </c>
      <c r="E154" s="8"/>
    </row>
    <row r="155" spans="1:5" ht="15.75" customHeight="1" x14ac:dyDescent="0.35">
      <c r="A155" s="10" t="s">
        <v>5226</v>
      </c>
      <c r="B155" s="10" t="s">
        <v>627</v>
      </c>
      <c r="C155" s="10" t="s">
        <v>628</v>
      </c>
      <c r="D155" s="11">
        <v>61</v>
      </c>
      <c r="E155" s="10"/>
    </row>
    <row r="156" spans="1:5" ht="15.75" customHeight="1" x14ac:dyDescent="0.35">
      <c r="A156" s="8" t="s">
        <v>5226</v>
      </c>
      <c r="B156" s="8" t="s">
        <v>631</v>
      </c>
      <c r="C156" s="8" t="s">
        <v>632</v>
      </c>
      <c r="D156" s="9">
        <v>184</v>
      </c>
      <c r="E156" s="8"/>
    </row>
    <row r="157" spans="1:5" ht="15.75" customHeight="1" x14ac:dyDescent="0.35">
      <c r="A157" s="10" t="s">
        <v>5226</v>
      </c>
      <c r="B157" s="10" t="s">
        <v>635</v>
      </c>
      <c r="C157" s="10" t="s">
        <v>636</v>
      </c>
      <c r="D157" s="11">
        <v>63</v>
      </c>
      <c r="E157" s="10"/>
    </row>
    <row r="158" spans="1:5" ht="15.75" customHeight="1" x14ac:dyDescent="0.35">
      <c r="A158" s="8" t="s">
        <v>5227</v>
      </c>
      <c r="B158" s="8" t="s">
        <v>639</v>
      </c>
      <c r="C158" s="8" t="s">
        <v>640</v>
      </c>
      <c r="D158" s="9">
        <v>175</v>
      </c>
      <c r="E158" s="8"/>
    </row>
    <row r="159" spans="1:5" ht="15.75" customHeight="1" x14ac:dyDescent="0.35">
      <c r="A159" s="10" t="s">
        <v>5227</v>
      </c>
      <c r="B159" s="10" t="s">
        <v>643</v>
      </c>
      <c r="C159" s="10" t="s">
        <v>644</v>
      </c>
      <c r="D159" s="11">
        <v>95</v>
      </c>
      <c r="E159" s="10"/>
    </row>
    <row r="160" spans="1:5" ht="15.75" customHeight="1" x14ac:dyDescent="0.35">
      <c r="A160" s="8" t="s">
        <v>5227</v>
      </c>
      <c r="B160" s="8" t="s">
        <v>647</v>
      </c>
      <c r="C160" s="8" t="s">
        <v>648</v>
      </c>
      <c r="D160" s="9">
        <v>125</v>
      </c>
      <c r="E160" s="8"/>
    </row>
    <row r="161" spans="1:5" ht="15.75" customHeight="1" x14ac:dyDescent="0.35">
      <c r="A161" s="10" t="s">
        <v>5227</v>
      </c>
      <c r="B161" s="10" t="s">
        <v>651</v>
      </c>
      <c r="C161" s="10" t="s">
        <v>652</v>
      </c>
      <c r="D161" s="11">
        <v>137</v>
      </c>
      <c r="E161" s="10"/>
    </row>
    <row r="162" spans="1:5" ht="15.75" customHeight="1" x14ac:dyDescent="0.35">
      <c r="A162" s="8" t="s">
        <v>5227</v>
      </c>
      <c r="B162" s="8" t="s">
        <v>655</v>
      </c>
      <c r="C162" s="8" t="s">
        <v>656</v>
      </c>
      <c r="D162" s="9">
        <v>166.5</v>
      </c>
      <c r="E162" s="8"/>
    </row>
    <row r="163" spans="1:5" ht="15.75" customHeight="1" x14ac:dyDescent="0.35">
      <c r="A163" s="10" t="s">
        <v>5228</v>
      </c>
      <c r="B163" s="10" t="s">
        <v>659</v>
      </c>
      <c r="C163" s="10" t="s">
        <v>660</v>
      </c>
      <c r="D163" s="11">
        <v>860</v>
      </c>
      <c r="E163" s="10"/>
    </row>
    <row r="164" spans="1:5" ht="15.75" customHeight="1" x14ac:dyDescent="0.35">
      <c r="A164" s="8" t="s">
        <v>5228</v>
      </c>
      <c r="B164" s="8" t="s">
        <v>663</v>
      </c>
      <c r="C164" s="8" t="s">
        <v>664</v>
      </c>
      <c r="D164" s="9">
        <v>228</v>
      </c>
      <c r="E164" s="8"/>
    </row>
    <row r="165" spans="1:5" ht="15.75" customHeight="1" x14ac:dyDescent="0.35">
      <c r="A165" s="10" t="s">
        <v>5228</v>
      </c>
      <c r="B165" s="10" t="s">
        <v>667</v>
      </c>
      <c r="C165" s="10" t="s">
        <v>668</v>
      </c>
      <c r="D165" s="11">
        <v>375</v>
      </c>
      <c r="E165" s="10"/>
    </row>
    <row r="166" spans="1:5" ht="15.75" customHeight="1" x14ac:dyDescent="0.35">
      <c r="A166" s="8" t="s">
        <v>5228</v>
      </c>
      <c r="B166" s="8" t="s">
        <v>671</v>
      </c>
      <c r="C166" s="8" t="s">
        <v>672</v>
      </c>
      <c r="D166" s="9">
        <v>80.5</v>
      </c>
      <c r="E166" s="8"/>
    </row>
    <row r="167" spans="1:5" ht="15.75" customHeight="1" x14ac:dyDescent="0.35">
      <c r="A167" s="10" t="s">
        <v>5228</v>
      </c>
      <c r="B167" s="10" t="s">
        <v>675</v>
      </c>
      <c r="C167" s="10" t="s">
        <v>676</v>
      </c>
      <c r="D167" s="11">
        <v>75.5</v>
      </c>
      <c r="E167" s="10"/>
    </row>
    <row r="168" spans="1:5" ht="15.75" customHeight="1" x14ac:dyDescent="0.35">
      <c r="A168" s="8" t="s">
        <v>5229</v>
      </c>
      <c r="B168" s="8" t="s">
        <v>679</v>
      </c>
      <c r="C168" s="8" t="s">
        <v>680</v>
      </c>
      <c r="D168" s="9">
        <v>4109</v>
      </c>
      <c r="E168" s="8"/>
    </row>
    <row r="169" spans="1:5" ht="15.75" customHeight="1" x14ac:dyDescent="0.35">
      <c r="A169" s="10" t="s">
        <v>5229</v>
      </c>
      <c r="B169" s="10" t="s">
        <v>683</v>
      </c>
      <c r="C169" s="10" t="s">
        <v>684</v>
      </c>
      <c r="D169" s="11">
        <v>5152</v>
      </c>
      <c r="E169" s="10"/>
    </row>
    <row r="170" spans="1:5" ht="15.75" customHeight="1" x14ac:dyDescent="0.35">
      <c r="A170" s="8" t="s">
        <v>5229</v>
      </c>
      <c r="B170" s="8" t="s">
        <v>687</v>
      </c>
      <c r="C170" s="8" t="s">
        <v>688</v>
      </c>
      <c r="D170" s="9">
        <v>7888.5</v>
      </c>
      <c r="E170" s="8"/>
    </row>
    <row r="171" spans="1:5" ht="15.75" customHeight="1" x14ac:dyDescent="0.35">
      <c r="A171" s="10" t="s">
        <v>5229</v>
      </c>
      <c r="B171" s="10" t="s">
        <v>691</v>
      </c>
      <c r="C171" s="10" t="s">
        <v>692</v>
      </c>
      <c r="D171" s="11">
        <v>9647.5</v>
      </c>
      <c r="E171" s="10"/>
    </row>
    <row r="172" spans="1:5" ht="15.75" customHeight="1" x14ac:dyDescent="0.35">
      <c r="A172" s="8" t="s">
        <v>5229</v>
      </c>
      <c r="B172" s="8" t="s">
        <v>695</v>
      </c>
      <c r="C172" s="8" t="s">
        <v>696</v>
      </c>
      <c r="D172" s="9">
        <v>10896</v>
      </c>
      <c r="E172" s="8"/>
    </row>
    <row r="173" spans="1:5" ht="15.75" customHeight="1" x14ac:dyDescent="0.35">
      <c r="A173" s="10" t="s">
        <v>5229</v>
      </c>
      <c r="B173" s="10" t="s">
        <v>699</v>
      </c>
      <c r="C173" s="10" t="s">
        <v>700</v>
      </c>
      <c r="D173" s="11">
        <v>12975</v>
      </c>
      <c r="E173" s="10"/>
    </row>
    <row r="174" spans="1:5" ht="15.75" customHeight="1" x14ac:dyDescent="0.35">
      <c r="A174" s="8" t="s">
        <v>5229</v>
      </c>
      <c r="B174" s="8" t="s">
        <v>703</v>
      </c>
      <c r="C174" s="8" t="s">
        <v>704</v>
      </c>
      <c r="D174" s="9">
        <v>13355</v>
      </c>
      <c r="E174" s="8"/>
    </row>
    <row r="175" spans="1:5" ht="15.75" customHeight="1" x14ac:dyDescent="0.35">
      <c r="A175" s="10" t="s">
        <v>5229</v>
      </c>
      <c r="B175" s="10" t="s">
        <v>707</v>
      </c>
      <c r="C175" s="10" t="s">
        <v>708</v>
      </c>
      <c r="D175" s="11">
        <v>16558</v>
      </c>
      <c r="E175" s="10"/>
    </row>
    <row r="176" spans="1:5" ht="15.75" customHeight="1" x14ac:dyDescent="0.35">
      <c r="A176" s="8" t="s">
        <v>5229</v>
      </c>
      <c r="B176" s="8" t="s">
        <v>711</v>
      </c>
      <c r="C176" s="8" t="s">
        <v>712</v>
      </c>
      <c r="D176" s="9">
        <v>17908</v>
      </c>
      <c r="E176" s="8"/>
    </row>
    <row r="177" spans="1:5" ht="15.75" customHeight="1" x14ac:dyDescent="0.35">
      <c r="A177" s="10" t="s">
        <v>5229</v>
      </c>
      <c r="B177" s="10" t="s">
        <v>715</v>
      </c>
      <c r="C177" s="10" t="s">
        <v>716</v>
      </c>
      <c r="D177" s="11">
        <v>11376</v>
      </c>
      <c r="E177" s="10"/>
    </row>
    <row r="178" spans="1:5" ht="15.75" customHeight="1" x14ac:dyDescent="0.35">
      <c r="A178" s="8" t="s">
        <v>5229</v>
      </c>
      <c r="B178" s="8" t="s">
        <v>719</v>
      </c>
      <c r="C178" s="8" t="s">
        <v>720</v>
      </c>
      <c r="D178" s="9">
        <v>12376</v>
      </c>
      <c r="E178" s="8"/>
    </row>
    <row r="179" spans="1:5" ht="15.75" customHeight="1" x14ac:dyDescent="0.35">
      <c r="A179" s="10" t="s">
        <v>5229</v>
      </c>
      <c r="B179" s="10" t="s">
        <v>723</v>
      </c>
      <c r="C179" s="10" t="s">
        <v>724</v>
      </c>
      <c r="D179" s="11">
        <v>2141.75</v>
      </c>
      <c r="E179" s="10"/>
    </row>
    <row r="180" spans="1:5" ht="15.75" customHeight="1" x14ac:dyDescent="0.35">
      <c r="A180" s="8" t="s">
        <v>5229</v>
      </c>
      <c r="B180" s="8" t="s">
        <v>727</v>
      </c>
      <c r="C180" s="8" t="s">
        <v>728</v>
      </c>
      <c r="D180" s="9">
        <v>125</v>
      </c>
      <c r="E180" s="8"/>
    </row>
    <row r="181" spans="1:5" ht="15.75" customHeight="1" x14ac:dyDescent="0.35">
      <c r="A181" s="10" t="s">
        <v>5229</v>
      </c>
      <c r="B181" s="10" t="s">
        <v>731</v>
      </c>
      <c r="C181" s="10" t="s">
        <v>732</v>
      </c>
      <c r="D181" s="11">
        <v>276</v>
      </c>
      <c r="E181" s="10"/>
    </row>
    <row r="182" spans="1:5" ht="15.75" customHeight="1" x14ac:dyDescent="0.35">
      <c r="A182" s="8" t="s">
        <v>5229</v>
      </c>
      <c r="B182" s="8" t="s">
        <v>735</v>
      </c>
      <c r="C182" s="8" t="s">
        <v>736</v>
      </c>
      <c r="D182" s="9">
        <v>265</v>
      </c>
      <c r="E182" s="8"/>
    </row>
    <row r="183" spans="1:5" ht="15.75" customHeight="1" x14ac:dyDescent="0.35">
      <c r="A183" s="10" t="s">
        <v>5229</v>
      </c>
      <c r="B183" s="10" t="s">
        <v>739</v>
      </c>
      <c r="C183" s="10" t="s">
        <v>740</v>
      </c>
      <c r="D183" s="11">
        <v>920</v>
      </c>
      <c r="E183" s="10"/>
    </row>
    <row r="184" spans="1:5" ht="15.75" customHeight="1" x14ac:dyDescent="0.35">
      <c r="A184" s="8" t="s">
        <v>5229</v>
      </c>
      <c r="B184" s="8" t="s">
        <v>743</v>
      </c>
      <c r="C184" s="8" t="s">
        <v>744</v>
      </c>
      <c r="D184" s="9">
        <v>616</v>
      </c>
      <c r="E184" s="8"/>
    </row>
    <row r="185" spans="1:5" ht="15.75" customHeight="1" x14ac:dyDescent="0.35">
      <c r="A185" s="10" t="s">
        <v>5229</v>
      </c>
      <c r="B185" s="10" t="s">
        <v>747</v>
      </c>
      <c r="C185" s="10" t="s">
        <v>748</v>
      </c>
      <c r="D185" s="11">
        <v>2576</v>
      </c>
      <c r="E185" s="10"/>
    </row>
    <row r="186" spans="1:5" ht="15.75" customHeight="1" x14ac:dyDescent="0.35">
      <c r="A186" s="8" t="s">
        <v>5229</v>
      </c>
      <c r="B186" s="8" t="s">
        <v>751</v>
      </c>
      <c r="C186" s="8" t="s">
        <v>752</v>
      </c>
      <c r="D186" s="9">
        <v>3066</v>
      </c>
      <c r="E186" s="8"/>
    </row>
    <row r="187" spans="1:5" ht="15.75" customHeight="1" x14ac:dyDescent="0.35">
      <c r="A187" s="10" t="s">
        <v>5229</v>
      </c>
      <c r="B187" s="10" t="s">
        <v>755</v>
      </c>
      <c r="C187" s="10" t="s">
        <v>756</v>
      </c>
      <c r="D187" s="11">
        <v>3987</v>
      </c>
      <c r="E187" s="10"/>
    </row>
    <row r="188" spans="1:5" ht="15.75" customHeight="1" x14ac:dyDescent="0.35">
      <c r="A188" s="8" t="s">
        <v>5229</v>
      </c>
      <c r="B188" s="8" t="s">
        <v>759</v>
      </c>
      <c r="C188" s="8" t="s">
        <v>760</v>
      </c>
      <c r="D188" s="9">
        <v>3942</v>
      </c>
      <c r="E188" s="8"/>
    </row>
    <row r="189" spans="1:5" ht="15.75" customHeight="1" x14ac:dyDescent="0.35">
      <c r="A189" s="10" t="s">
        <v>5229</v>
      </c>
      <c r="B189" s="10" t="s">
        <v>763</v>
      </c>
      <c r="C189" s="10" t="s">
        <v>764</v>
      </c>
      <c r="D189" s="11">
        <v>6166</v>
      </c>
      <c r="E189" s="10"/>
    </row>
    <row r="190" spans="1:5" ht="15.75" customHeight="1" x14ac:dyDescent="0.35">
      <c r="A190" s="8" t="s">
        <v>5229</v>
      </c>
      <c r="B190" s="8" t="s">
        <v>767</v>
      </c>
      <c r="C190" s="8" t="s">
        <v>768</v>
      </c>
      <c r="D190" s="9">
        <v>13</v>
      </c>
      <c r="E190" s="8"/>
    </row>
    <row r="191" spans="1:5" ht="15.75" customHeight="1" x14ac:dyDescent="0.35">
      <c r="A191" s="10" t="s">
        <v>5229</v>
      </c>
      <c r="B191" s="10" t="s">
        <v>771</v>
      </c>
      <c r="C191" s="10" t="s">
        <v>772</v>
      </c>
      <c r="D191" s="11">
        <v>82</v>
      </c>
      <c r="E191" s="10"/>
    </row>
    <row r="192" spans="1:5" ht="15.75" customHeight="1" x14ac:dyDescent="0.35">
      <c r="A192" s="8" t="s">
        <v>5229</v>
      </c>
      <c r="B192" s="8" t="s">
        <v>775</v>
      </c>
      <c r="C192" s="8" t="s">
        <v>776</v>
      </c>
      <c r="D192" s="9">
        <v>41</v>
      </c>
      <c r="E192" s="8"/>
    </row>
    <row r="193" spans="1:5" ht="15.75" customHeight="1" x14ac:dyDescent="0.35">
      <c r="A193" s="10" t="s">
        <v>5230</v>
      </c>
      <c r="B193" s="10" t="s">
        <v>779</v>
      </c>
      <c r="C193" s="10" t="s">
        <v>780</v>
      </c>
      <c r="D193" s="11">
        <v>1337</v>
      </c>
      <c r="E193" s="10"/>
    </row>
    <row r="194" spans="1:5" ht="15.75" customHeight="1" x14ac:dyDescent="0.35">
      <c r="A194" s="8" t="s">
        <v>5230</v>
      </c>
      <c r="B194" s="8" t="s">
        <v>783</v>
      </c>
      <c r="C194" s="8" t="s">
        <v>784</v>
      </c>
      <c r="D194" s="9">
        <v>1374</v>
      </c>
      <c r="E194" s="8"/>
    </row>
    <row r="195" spans="1:5" ht="15.75" customHeight="1" x14ac:dyDescent="0.35">
      <c r="A195" s="10" t="s">
        <v>5230</v>
      </c>
      <c r="B195" s="10" t="s">
        <v>787</v>
      </c>
      <c r="C195" s="10" t="s">
        <v>788</v>
      </c>
      <c r="D195" s="11">
        <v>638</v>
      </c>
      <c r="E195" s="10"/>
    </row>
    <row r="196" spans="1:5" ht="15.75" customHeight="1" x14ac:dyDescent="0.35">
      <c r="A196" s="8" t="s">
        <v>5230</v>
      </c>
      <c r="B196" s="8" t="s">
        <v>791</v>
      </c>
      <c r="C196" s="8" t="s">
        <v>792</v>
      </c>
      <c r="D196" s="9">
        <v>981</v>
      </c>
      <c r="E196" s="8"/>
    </row>
    <row r="197" spans="1:5" ht="15.75" customHeight="1" x14ac:dyDescent="0.35">
      <c r="A197" s="10" t="s">
        <v>5230</v>
      </c>
      <c r="B197" s="10" t="s">
        <v>795</v>
      </c>
      <c r="C197" s="10" t="s">
        <v>796</v>
      </c>
      <c r="D197" s="11">
        <v>478</v>
      </c>
      <c r="E197" s="10"/>
    </row>
    <row r="198" spans="1:5" ht="15.75" customHeight="1" x14ac:dyDescent="0.35">
      <c r="A198" s="8" t="s">
        <v>5231</v>
      </c>
      <c r="B198" s="8" t="s">
        <v>799</v>
      </c>
      <c r="C198" s="8" t="s">
        <v>800</v>
      </c>
      <c r="D198" s="9">
        <v>515</v>
      </c>
      <c r="E198" s="8"/>
    </row>
    <row r="199" spans="1:5" ht="15.75" customHeight="1" x14ac:dyDescent="0.35">
      <c r="A199" s="10" t="s">
        <v>5231</v>
      </c>
      <c r="B199" s="10" t="s">
        <v>803</v>
      </c>
      <c r="C199" s="10" t="s">
        <v>804</v>
      </c>
      <c r="D199" s="11">
        <v>620</v>
      </c>
      <c r="E199" s="10"/>
    </row>
    <row r="200" spans="1:5" ht="15.75" customHeight="1" x14ac:dyDescent="0.35">
      <c r="A200" s="8" t="s">
        <v>5231</v>
      </c>
      <c r="B200" s="8" t="s">
        <v>807</v>
      </c>
      <c r="C200" s="8" t="s">
        <v>808</v>
      </c>
      <c r="D200" s="9">
        <v>455</v>
      </c>
      <c r="E200" s="8"/>
    </row>
    <row r="201" spans="1:5" ht="15.75" customHeight="1" x14ac:dyDescent="0.35">
      <c r="A201" s="10" t="s">
        <v>5231</v>
      </c>
      <c r="B201" s="10" t="s">
        <v>811</v>
      </c>
      <c r="C201" s="10" t="s">
        <v>812</v>
      </c>
      <c r="D201" s="11">
        <v>607</v>
      </c>
      <c r="E201" s="10"/>
    </row>
    <row r="202" spans="1:5" ht="15.75" customHeight="1" x14ac:dyDescent="0.35">
      <c r="A202" s="8" t="s">
        <v>5231</v>
      </c>
      <c r="B202" s="8" t="s">
        <v>815</v>
      </c>
      <c r="C202" s="8" t="s">
        <v>816</v>
      </c>
      <c r="D202" s="9">
        <v>416</v>
      </c>
      <c r="E202" s="8"/>
    </row>
    <row r="203" spans="1:5" ht="15.75" customHeight="1" x14ac:dyDescent="0.35">
      <c r="A203" s="10" t="s">
        <v>5231</v>
      </c>
      <c r="B203" s="10" t="s">
        <v>819</v>
      </c>
      <c r="C203" s="10" t="s">
        <v>820</v>
      </c>
      <c r="D203" s="11">
        <v>540</v>
      </c>
      <c r="E203" s="10"/>
    </row>
    <row r="204" spans="1:5" ht="15.75" customHeight="1" x14ac:dyDescent="0.35">
      <c r="A204" s="8" t="s">
        <v>5231</v>
      </c>
      <c r="B204" s="8" t="s">
        <v>823</v>
      </c>
      <c r="C204" s="8" t="s">
        <v>824</v>
      </c>
      <c r="D204" s="9">
        <v>385</v>
      </c>
      <c r="E204" s="8"/>
    </row>
    <row r="205" spans="1:5" ht="15.75" customHeight="1" x14ac:dyDescent="0.35">
      <c r="A205" s="10" t="s">
        <v>5231</v>
      </c>
      <c r="B205" s="10" t="s">
        <v>827</v>
      </c>
      <c r="C205" s="10" t="s">
        <v>828</v>
      </c>
      <c r="D205" s="11">
        <v>301.5</v>
      </c>
      <c r="E205" s="10"/>
    </row>
    <row r="206" spans="1:5" ht="15.75" customHeight="1" x14ac:dyDescent="0.35">
      <c r="A206" s="8" t="s">
        <v>5231</v>
      </c>
      <c r="B206" s="8" t="s">
        <v>831</v>
      </c>
      <c r="C206" s="8" t="s">
        <v>832</v>
      </c>
      <c r="D206" s="9">
        <v>680</v>
      </c>
      <c r="E206" s="8"/>
    </row>
    <row r="207" spans="1:5" ht="15.75" customHeight="1" x14ac:dyDescent="0.35">
      <c r="A207" s="10" t="s">
        <v>5231</v>
      </c>
      <c r="B207" s="10" t="s">
        <v>835</v>
      </c>
      <c r="C207" s="10" t="s">
        <v>836</v>
      </c>
      <c r="D207" s="11">
        <v>780</v>
      </c>
      <c r="E207" s="10"/>
    </row>
    <row r="208" spans="1:5" ht="15.75" customHeight="1" x14ac:dyDescent="0.35">
      <c r="A208" s="8" t="s">
        <v>5232</v>
      </c>
      <c r="B208" s="8" t="s">
        <v>839</v>
      </c>
      <c r="C208" s="8" t="s">
        <v>840</v>
      </c>
      <c r="D208" s="9">
        <v>603</v>
      </c>
      <c r="E208" s="8"/>
    </row>
    <row r="209" spans="1:5" ht="15.75" customHeight="1" x14ac:dyDescent="0.35">
      <c r="A209" s="10" t="s">
        <v>5232</v>
      </c>
      <c r="B209" s="10" t="s">
        <v>843</v>
      </c>
      <c r="C209" s="10" t="s">
        <v>844</v>
      </c>
      <c r="D209" s="11">
        <v>854</v>
      </c>
      <c r="E209" s="10"/>
    </row>
    <row r="210" spans="1:5" ht="15.75" customHeight="1" x14ac:dyDescent="0.35">
      <c r="A210" s="8" t="s">
        <v>5232</v>
      </c>
      <c r="B210" s="8" t="s">
        <v>847</v>
      </c>
      <c r="C210" s="8" t="s">
        <v>848</v>
      </c>
      <c r="D210" s="9">
        <v>1076</v>
      </c>
      <c r="E210" s="8"/>
    </row>
    <row r="211" spans="1:5" ht="15.75" customHeight="1" x14ac:dyDescent="0.35">
      <c r="A211" s="10" t="s">
        <v>5232</v>
      </c>
      <c r="B211" s="10" t="s">
        <v>851</v>
      </c>
      <c r="C211" s="10" t="s">
        <v>852</v>
      </c>
      <c r="D211" s="11">
        <v>294</v>
      </c>
      <c r="E211" s="10"/>
    </row>
    <row r="212" spans="1:5" ht="15.75" customHeight="1" x14ac:dyDescent="0.35">
      <c r="A212" s="8" t="s">
        <v>5232</v>
      </c>
      <c r="B212" s="8" t="s">
        <v>855</v>
      </c>
      <c r="C212" s="8" t="s">
        <v>856</v>
      </c>
      <c r="D212" s="9">
        <v>1463</v>
      </c>
      <c r="E212" s="8"/>
    </row>
    <row r="213" spans="1:5" ht="15.75" customHeight="1" x14ac:dyDescent="0.35">
      <c r="A213" s="10" t="s">
        <v>5232</v>
      </c>
      <c r="B213" s="10" t="s">
        <v>859</v>
      </c>
      <c r="C213" s="10" t="s">
        <v>860</v>
      </c>
      <c r="D213" s="11">
        <v>1650</v>
      </c>
      <c r="E213" s="10"/>
    </row>
    <row r="214" spans="1:5" ht="15.75" customHeight="1" x14ac:dyDescent="0.35">
      <c r="A214" s="8" t="s">
        <v>5232</v>
      </c>
      <c r="B214" s="8" t="s">
        <v>863</v>
      </c>
      <c r="C214" s="8" t="s">
        <v>864</v>
      </c>
      <c r="D214" s="9">
        <v>2260</v>
      </c>
      <c r="E214" s="8"/>
    </row>
    <row r="215" spans="1:5" ht="15.75" customHeight="1" x14ac:dyDescent="0.35">
      <c r="A215" s="10" t="s">
        <v>5233</v>
      </c>
      <c r="B215" s="10" t="s">
        <v>867</v>
      </c>
      <c r="C215" s="10" t="s">
        <v>868</v>
      </c>
      <c r="D215" s="11">
        <v>31</v>
      </c>
      <c r="E215" s="10"/>
    </row>
    <row r="216" spans="1:5" ht="15.75" customHeight="1" x14ac:dyDescent="0.35">
      <c r="A216" s="8" t="s">
        <v>5233</v>
      </c>
      <c r="B216" s="8" t="s">
        <v>871</v>
      </c>
      <c r="C216" s="8" t="s">
        <v>872</v>
      </c>
      <c r="D216" s="9">
        <v>68</v>
      </c>
      <c r="E216" s="8"/>
    </row>
    <row r="217" spans="1:5" ht="15.75" customHeight="1" x14ac:dyDescent="0.35">
      <c r="A217" s="10" t="s">
        <v>5233</v>
      </c>
      <c r="B217" s="10" t="s">
        <v>875</v>
      </c>
      <c r="C217" s="10" t="s">
        <v>876</v>
      </c>
      <c r="D217" s="11">
        <v>82</v>
      </c>
      <c r="E217" s="10"/>
    </row>
    <row r="218" spans="1:5" ht="15.75" customHeight="1" x14ac:dyDescent="0.35">
      <c r="A218" s="8" t="s">
        <v>5233</v>
      </c>
      <c r="B218" s="8" t="s">
        <v>879</v>
      </c>
      <c r="C218" s="8" t="s">
        <v>880</v>
      </c>
      <c r="D218" s="9">
        <v>92</v>
      </c>
      <c r="E218" s="8"/>
    </row>
    <row r="219" spans="1:5" ht="15.75" customHeight="1" x14ac:dyDescent="0.35">
      <c r="A219" s="10" t="s">
        <v>5233</v>
      </c>
      <c r="B219" s="10" t="s">
        <v>883</v>
      </c>
      <c r="C219" s="10" t="s">
        <v>884</v>
      </c>
      <c r="D219" s="11">
        <v>118</v>
      </c>
      <c r="E219" s="10"/>
    </row>
    <row r="220" spans="1:5" ht="15.75" customHeight="1" x14ac:dyDescent="0.35">
      <c r="A220" s="8" t="s">
        <v>5233</v>
      </c>
      <c r="B220" s="8" t="s">
        <v>887</v>
      </c>
      <c r="C220" s="8" t="s">
        <v>888</v>
      </c>
      <c r="D220" s="9">
        <v>141</v>
      </c>
      <c r="E220" s="8"/>
    </row>
    <row r="221" spans="1:5" ht="15.75" customHeight="1" x14ac:dyDescent="0.35">
      <c r="A221" s="10" t="s">
        <v>5233</v>
      </c>
      <c r="B221" s="10" t="s">
        <v>891</v>
      </c>
      <c r="C221" s="10" t="s">
        <v>892</v>
      </c>
      <c r="D221" s="11">
        <v>180</v>
      </c>
      <c r="E221" s="10"/>
    </row>
    <row r="222" spans="1:5" ht="15.75" customHeight="1" x14ac:dyDescent="0.35">
      <c r="A222" s="8" t="s">
        <v>5233</v>
      </c>
      <c r="B222" s="8" t="s">
        <v>895</v>
      </c>
      <c r="C222" s="8" t="s">
        <v>896</v>
      </c>
      <c r="D222" s="9">
        <v>234</v>
      </c>
      <c r="E222" s="8"/>
    </row>
    <row r="223" spans="1:5" ht="15.75" customHeight="1" x14ac:dyDescent="0.35">
      <c r="A223" s="10" t="s">
        <v>5233</v>
      </c>
      <c r="B223" s="10" t="s">
        <v>899</v>
      </c>
      <c r="C223" s="10" t="s">
        <v>900</v>
      </c>
      <c r="D223" s="11">
        <v>317</v>
      </c>
      <c r="E223" s="10"/>
    </row>
    <row r="224" spans="1:5" ht="15.75" customHeight="1" x14ac:dyDescent="0.35">
      <c r="A224" s="8" t="s">
        <v>5233</v>
      </c>
      <c r="B224" s="8" t="s">
        <v>903</v>
      </c>
      <c r="C224" s="8" t="s">
        <v>904</v>
      </c>
      <c r="D224" s="9">
        <v>423</v>
      </c>
      <c r="E224" s="8"/>
    </row>
    <row r="225" spans="1:5" ht="15.75" customHeight="1" x14ac:dyDescent="0.35">
      <c r="A225" s="10" t="s">
        <v>5234</v>
      </c>
      <c r="B225" s="10" t="s">
        <v>907</v>
      </c>
      <c r="C225" s="10" t="s">
        <v>908</v>
      </c>
      <c r="D225" s="11">
        <v>435</v>
      </c>
      <c r="E225" s="10"/>
    </row>
    <row r="226" spans="1:5" ht="15.75" customHeight="1" x14ac:dyDescent="0.35">
      <c r="A226" s="8" t="s">
        <v>5234</v>
      </c>
      <c r="B226" s="8" t="s">
        <v>911</v>
      </c>
      <c r="C226" s="8" t="s">
        <v>912</v>
      </c>
      <c r="D226" s="9">
        <v>435</v>
      </c>
      <c r="E226" s="8"/>
    </row>
    <row r="227" spans="1:5" ht="15.75" customHeight="1" x14ac:dyDescent="0.35">
      <c r="A227" s="10" t="s">
        <v>5234</v>
      </c>
      <c r="B227" s="10" t="s">
        <v>915</v>
      </c>
      <c r="C227" s="10" t="s">
        <v>916</v>
      </c>
      <c r="D227" s="11">
        <v>1250</v>
      </c>
      <c r="E227" s="10"/>
    </row>
    <row r="228" spans="1:5" ht="15.75" customHeight="1" x14ac:dyDescent="0.35">
      <c r="A228" s="8" t="s">
        <v>5235</v>
      </c>
      <c r="B228" s="8" t="s">
        <v>919</v>
      </c>
      <c r="C228" s="8" t="s">
        <v>920</v>
      </c>
      <c r="D228" s="9">
        <v>1150</v>
      </c>
      <c r="E228" s="8"/>
    </row>
    <row r="229" spans="1:5" ht="15.75" customHeight="1" x14ac:dyDescent="0.35">
      <c r="A229" s="10" t="s">
        <v>5235</v>
      </c>
      <c r="B229" s="10" t="s">
        <v>923</v>
      </c>
      <c r="C229" s="10" t="s">
        <v>924</v>
      </c>
      <c r="D229" s="11">
        <v>748</v>
      </c>
      <c r="E229" s="10"/>
    </row>
    <row r="230" spans="1:5" ht="15.75" customHeight="1" x14ac:dyDescent="0.35">
      <c r="A230" s="8" t="s">
        <v>5235</v>
      </c>
      <c r="B230" s="8" t="s">
        <v>927</v>
      </c>
      <c r="C230" s="8" t="s">
        <v>928</v>
      </c>
      <c r="D230" s="9">
        <v>1898</v>
      </c>
      <c r="E230" s="8"/>
    </row>
    <row r="231" spans="1:5" ht="15.75" customHeight="1" x14ac:dyDescent="0.35">
      <c r="A231" s="10" t="s">
        <v>5235</v>
      </c>
      <c r="B231" s="10" t="s">
        <v>931</v>
      </c>
      <c r="C231" s="10" t="s">
        <v>932</v>
      </c>
      <c r="D231" s="11">
        <v>748</v>
      </c>
      <c r="E231" s="10"/>
    </row>
    <row r="232" spans="1:5" ht="15.75" customHeight="1" x14ac:dyDescent="0.35">
      <c r="A232" s="8" t="s">
        <v>5236</v>
      </c>
      <c r="B232" s="8" t="s">
        <v>935</v>
      </c>
      <c r="C232" s="8" t="s">
        <v>936</v>
      </c>
      <c r="D232" s="9">
        <v>115.5</v>
      </c>
      <c r="E232" s="8"/>
    </row>
    <row r="233" spans="1:5" ht="15.75" customHeight="1" x14ac:dyDescent="0.35">
      <c r="A233" s="10" t="s">
        <v>5236</v>
      </c>
      <c r="B233" s="10" t="s">
        <v>939</v>
      </c>
      <c r="C233" s="10" t="s">
        <v>940</v>
      </c>
      <c r="D233" s="11">
        <v>39.9</v>
      </c>
      <c r="E233" s="10"/>
    </row>
    <row r="234" spans="1:5" ht="15.75" customHeight="1" x14ac:dyDescent="0.35">
      <c r="A234" s="8" t="s">
        <v>5236</v>
      </c>
      <c r="B234" s="8" t="s">
        <v>943</v>
      </c>
      <c r="C234" s="8" t="s">
        <v>944</v>
      </c>
      <c r="D234" s="9">
        <v>70</v>
      </c>
      <c r="E234" s="8"/>
    </row>
    <row r="235" spans="1:5" ht="15.75" customHeight="1" x14ac:dyDescent="0.35">
      <c r="A235" s="10" t="s">
        <v>5236</v>
      </c>
      <c r="B235" s="10" t="s">
        <v>947</v>
      </c>
      <c r="C235" s="10" t="s">
        <v>948</v>
      </c>
      <c r="D235" s="11">
        <v>56</v>
      </c>
      <c r="E235" s="10"/>
    </row>
    <row r="236" spans="1:5" ht="15.75" customHeight="1" x14ac:dyDescent="0.35">
      <c r="A236" s="8" t="s">
        <v>5236</v>
      </c>
      <c r="B236" s="8" t="s">
        <v>951</v>
      </c>
      <c r="C236" s="8" t="s">
        <v>952</v>
      </c>
      <c r="D236" s="9">
        <v>49</v>
      </c>
      <c r="E236" s="8"/>
    </row>
    <row r="237" spans="1:5" ht="15.75" customHeight="1" x14ac:dyDescent="0.35">
      <c r="A237" s="10" t="s">
        <v>5237</v>
      </c>
      <c r="B237" s="10" t="s">
        <v>955</v>
      </c>
      <c r="C237" s="10" t="s">
        <v>956</v>
      </c>
      <c r="D237" s="11">
        <v>288.5</v>
      </c>
      <c r="E237" s="10"/>
    </row>
    <row r="238" spans="1:5" ht="15.75" customHeight="1" x14ac:dyDescent="0.35">
      <c r="A238" s="8" t="s">
        <v>5237</v>
      </c>
      <c r="B238" s="8" t="s">
        <v>959</v>
      </c>
      <c r="C238" s="8" t="s">
        <v>960</v>
      </c>
      <c r="D238" s="9">
        <v>288.5</v>
      </c>
      <c r="E238" s="8"/>
    </row>
    <row r="239" spans="1:5" ht="15.75" customHeight="1" x14ac:dyDescent="0.35">
      <c r="A239" s="10" t="s">
        <v>5237</v>
      </c>
      <c r="B239" s="10" t="s">
        <v>963</v>
      </c>
      <c r="C239" s="10" t="s">
        <v>964</v>
      </c>
      <c r="D239" s="11">
        <v>288.5</v>
      </c>
      <c r="E239" s="10"/>
    </row>
    <row r="240" spans="1:5" ht="15.75" customHeight="1" x14ac:dyDescent="0.35">
      <c r="A240" s="8" t="s">
        <v>5237</v>
      </c>
      <c r="B240" s="8" t="s">
        <v>967</v>
      </c>
      <c r="C240" s="8" t="s">
        <v>968</v>
      </c>
      <c r="D240" s="9">
        <v>288.5</v>
      </c>
      <c r="E240" s="8"/>
    </row>
    <row r="241" spans="1:5" ht="15.75" customHeight="1" x14ac:dyDescent="0.35">
      <c r="A241" s="10" t="s">
        <v>5237</v>
      </c>
      <c r="B241" s="10" t="s">
        <v>971</v>
      </c>
      <c r="C241" s="10" t="s">
        <v>972</v>
      </c>
      <c r="D241" s="11">
        <v>288.5</v>
      </c>
      <c r="E241" s="1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8"/>
  <sheetViews>
    <sheetView zoomScaleNormal="100" workbookViewId="0"/>
  </sheetViews>
  <sheetFormatPr defaultColWidth="8.6328125" defaultRowHeight="14.5" x14ac:dyDescent="0.35"/>
  <cols>
    <col min="1" max="1" width="24" style="6" customWidth="1"/>
    <col min="2" max="2" width="16" style="6" customWidth="1"/>
    <col min="3" max="3" width="58" style="6" customWidth="1"/>
    <col min="4" max="4" width="18" style="6" customWidth="1"/>
    <col min="5" max="5" width="44" style="6" customWidth="1"/>
  </cols>
  <sheetData>
    <row r="1" spans="1:5" ht="30" customHeight="1" x14ac:dyDescent="0.35">
      <c r="A1" s="67" t="s">
        <v>5238</v>
      </c>
      <c r="B1" s="67"/>
      <c r="C1" s="67"/>
      <c r="D1" s="67"/>
      <c r="E1" s="67"/>
    </row>
    <row r="2" spans="1:5" ht="15.75" customHeight="1" x14ac:dyDescent="0.35">
      <c r="A2" s="66" t="s">
        <v>5239</v>
      </c>
      <c r="B2" s="66"/>
      <c r="C2" s="66"/>
      <c r="D2" s="66"/>
      <c r="E2" s="66"/>
    </row>
    <row r="3" spans="1:5" ht="27.75" customHeight="1" x14ac:dyDescent="0.35">
      <c r="A3" s="12" t="s">
        <v>5178</v>
      </c>
      <c r="B3" s="12" t="s">
        <v>5240</v>
      </c>
      <c r="C3" s="12" t="s">
        <v>15</v>
      </c>
      <c r="D3" s="12" t="s">
        <v>5241</v>
      </c>
      <c r="E3" s="12" t="s">
        <v>5181</v>
      </c>
    </row>
    <row r="4" spans="1:5" ht="15.75" customHeight="1" x14ac:dyDescent="0.35">
      <c r="A4" s="8" t="s">
        <v>5242</v>
      </c>
      <c r="B4" s="8" t="s">
        <v>976</v>
      </c>
      <c r="C4" s="8" t="s">
        <v>977</v>
      </c>
      <c r="D4" s="9">
        <v>1540</v>
      </c>
      <c r="E4" s="8"/>
    </row>
    <row r="5" spans="1:5" ht="15.75" customHeight="1" x14ac:dyDescent="0.35">
      <c r="A5" s="10" t="s">
        <v>5243</v>
      </c>
      <c r="B5" s="10" t="s">
        <v>980</v>
      </c>
      <c r="C5" s="10" t="s">
        <v>981</v>
      </c>
      <c r="D5" s="11">
        <v>1840</v>
      </c>
      <c r="E5" s="10"/>
    </row>
    <row r="6" spans="1:5" ht="15.75" customHeight="1" x14ac:dyDescent="0.35">
      <c r="A6" s="8" t="s">
        <v>5243</v>
      </c>
      <c r="B6" s="8" t="s">
        <v>984</v>
      </c>
      <c r="C6" s="8" t="s">
        <v>985</v>
      </c>
      <c r="D6" s="9">
        <v>2470</v>
      </c>
      <c r="E6" s="8"/>
    </row>
    <row r="7" spans="1:5" ht="15.75" customHeight="1" x14ac:dyDescent="0.35">
      <c r="A7" s="10" t="s">
        <v>5243</v>
      </c>
      <c r="B7" s="10" t="s">
        <v>988</v>
      </c>
      <c r="C7" s="10" t="s">
        <v>989</v>
      </c>
      <c r="D7" s="11">
        <v>3095</v>
      </c>
      <c r="E7" s="10"/>
    </row>
    <row r="8" spans="1:5" ht="15.75" customHeight="1" x14ac:dyDescent="0.35">
      <c r="A8" s="8" t="s">
        <v>5244</v>
      </c>
      <c r="B8" s="8" t="s">
        <v>992</v>
      </c>
      <c r="C8" s="8" t="s">
        <v>993</v>
      </c>
      <c r="D8" s="9">
        <v>385</v>
      </c>
      <c r="E8" s="8"/>
    </row>
    <row r="9" spans="1:5" ht="15.75" customHeight="1" x14ac:dyDescent="0.35">
      <c r="A9" s="10" t="s">
        <v>5244</v>
      </c>
      <c r="B9" s="10" t="s">
        <v>996</v>
      </c>
      <c r="C9" s="10" t="s">
        <v>997</v>
      </c>
      <c r="D9" s="11">
        <v>633</v>
      </c>
      <c r="E9" s="10"/>
    </row>
    <row r="10" spans="1:5" ht="15.75" customHeight="1" x14ac:dyDescent="0.35">
      <c r="A10" s="8" t="s">
        <v>5244</v>
      </c>
      <c r="B10" s="8" t="s">
        <v>1000</v>
      </c>
      <c r="C10" s="8" t="s">
        <v>1001</v>
      </c>
      <c r="D10" s="9">
        <v>410.46</v>
      </c>
      <c r="E10" s="8" t="s">
        <v>5245</v>
      </c>
    </row>
    <row r="11" spans="1:5" ht="15.75" customHeight="1" x14ac:dyDescent="0.35">
      <c r="A11" s="10" t="s">
        <v>5244</v>
      </c>
      <c r="B11" s="10" t="s">
        <v>1004</v>
      </c>
      <c r="C11" s="10" t="s">
        <v>1005</v>
      </c>
      <c r="D11" s="11">
        <v>845.25</v>
      </c>
      <c r="E11" s="10" t="s">
        <v>5245</v>
      </c>
    </row>
    <row r="12" spans="1:5" ht="15.75" customHeight="1" x14ac:dyDescent="0.35">
      <c r="A12" s="8" t="s">
        <v>5244</v>
      </c>
      <c r="B12" s="8" t="s">
        <v>1008</v>
      </c>
      <c r="C12" s="8" t="s">
        <v>1009</v>
      </c>
      <c r="D12" s="9">
        <v>275</v>
      </c>
      <c r="E12" s="8" t="s">
        <v>5246</v>
      </c>
    </row>
    <row r="13" spans="1:5" ht="15.75" customHeight="1" x14ac:dyDescent="0.35">
      <c r="A13" s="10" t="s">
        <v>5247</v>
      </c>
      <c r="B13" s="10" t="s">
        <v>1012</v>
      </c>
      <c r="C13" s="10" t="s">
        <v>1013</v>
      </c>
      <c r="D13" s="11">
        <v>700</v>
      </c>
      <c r="E13" s="10"/>
    </row>
    <row r="14" spans="1:5" ht="15.75" customHeight="1" x14ac:dyDescent="0.35">
      <c r="A14" s="8" t="s">
        <v>5247</v>
      </c>
      <c r="B14" s="8" t="s">
        <v>1016</v>
      </c>
      <c r="C14" s="8" t="s">
        <v>1017</v>
      </c>
      <c r="D14" s="9">
        <v>271</v>
      </c>
      <c r="E14" s="8"/>
    </row>
    <row r="15" spans="1:5" ht="15.75" customHeight="1" x14ac:dyDescent="0.35">
      <c r="A15" s="10" t="s">
        <v>5247</v>
      </c>
      <c r="B15" s="10" t="s">
        <v>1020</v>
      </c>
      <c r="C15" s="10" t="s">
        <v>1021</v>
      </c>
      <c r="D15" s="11">
        <v>911</v>
      </c>
      <c r="E15" s="10"/>
    </row>
    <row r="16" spans="1:5" ht="15.75" customHeight="1" x14ac:dyDescent="0.35">
      <c r="A16" s="8" t="s">
        <v>5247</v>
      </c>
      <c r="B16" s="8" t="s">
        <v>1024</v>
      </c>
      <c r="C16" s="8" t="s">
        <v>1025</v>
      </c>
      <c r="D16" s="9">
        <v>903</v>
      </c>
      <c r="E16" s="8"/>
    </row>
    <row r="17" spans="1:5" ht="15.75" customHeight="1" x14ac:dyDescent="0.35">
      <c r="A17" s="10" t="s">
        <v>5247</v>
      </c>
      <c r="B17" s="10" t="s">
        <v>1028</v>
      </c>
      <c r="C17" s="10" t="s">
        <v>1029</v>
      </c>
      <c r="D17" s="11">
        <v>992</v>
      </c>
      <c r="E17" s="10" t="s">
        <v>5248</v>
      </c>
    </row>
    <row r="18" spans="1:5" ht="15.75" customHeight="1" x14ac:dyDescent="0.35">
      <c r="A18" s="8" t="s">
        <v>5249</v>
      </c>
      <c r="B18" s="8" t="s">
        <v>1032</v>
      </c>
      <c r="C18" s="8" t="s">
        <v>1033</v>
      </c>
      <c r="D18" s="9">
        <v>98</v>
      </c>
      <c r="E18" s="8" t="s">
        <v>5250</v>
      </c>
    </row>
    <row r="19" spans="1:5" ht="15.75" customHeight="1" x14ac:dyDescent="0.35">
      <c r="A19" s="10" t="s">
        <v>5249</v>
      </c>
      <c r="B19" s="10" t="s">
        <v>1036</v>
      </c>
      <c r="C19" s="10" t="s">
        <v>1037</v>
      </c>
      <c r="D19" s="11">
        <v>92.5</v>
      </c>
      <c r="E19" s="10" t="s">
        <v>5251</v>
      </c>
    </row>
    <row r="20" spans="1:5" ht="15.75" customHeight="1" x14ac:dyDescent="0.35">
      <c r="A20" s="8" t="s">
        <v>5249</v>
      </c>
      <c r="B20" s="8" t="s">
        <v>1040</v>
      </c>
      <c r="C20" s="8" t="s">
        <v>1041</v>
      </c>
      <c r="D20" s="9">
        <v>144</v>
      </c>
      <c r="E20" s="8" t="s">
        <v>5250</v>
      </c>
    </row>
    <row r="21" spans="1:5" ht="15.75" customHeight="1" x14ac:dyDescent="0.35">
      <c r="A21" s="10" t="s">
        <v>5249</v>
      </c>
      <c r="B21" s="10" t="s">
        <v>1044</v>
      </c>
      <c r="C21" s="10" t="s">
        <v>1045</v>
      </c>
      <c r="D21" s="11">
        <v>139</v>
      </c>
      <c r="E21" s="10" t="s">
        <v>5251</v>
      </c>
    </row>
    <row r="22" spans="1:5" ht="15.75" customHeight="1" x14ac:dyDescent="0.35">
      <c r="A22" s="8" t="s">
        <v>5249</v>
      </c>
      <c r="B22" s="8" t="s">
        <v>1048</v>
      </c>
      <c r="C22" s="8" t="s">
        <v>1049</v>
      </c>
      <c r="D22" s="9">
        <v>100</v>
      </c>
      <c r="E22" s="8"/>
    </row>
    <row r="23" spans="1:5" ht="15.75" customHeight="1" x14ac:dyDescent="0.35">
      <c r="A23" s="10" t="s">
        <v>5249</v>
      </c>
      <c r="B23" s="10" t="s">
        <v>1052</v>
      </c>
      <c r="C23" s="10" t="s">
        <v>1053</v>
      </c>
      <c r="D23" s="11">
        <v>95</v>
      </c>
      <c r="E23" s="10"/>
    </row>
    <row r="24" spans="1:5" ht="15.75" customHeight="1" x14ac:dyDescent="0.35">
      <c r="A24" s="8" t="s">
        <v>5249</v>
      </c>
      <c r="B24" s="8" t="s">
        <v>1056</v>
      </c>
      <c r="C24" s="8" t="s">
        <v>1057</v>
      </c>
      <c r="D24" s="9">
        <v>15</v>
      </c>
      <c r="E24" s="8"/>
    </row>
    <row r="25" spans="1:5" ht="15.75" customHeight="1" x14ac:dyDescent="0.35">
      <c r="A25" s="10" t="s">
        <v>5249</v>
      </c>
      <c r="B25" s="10" t="s">
        <v>1060</v>
      </c>
      <c r="C25" s="10" t="s">
        <v>1061</v>
      </c>
      <c r="D25" s="11">
        <v>23</v>
      </c>
      <c r="E25" s="10"/>
    </row>
    <row r="26" spans="1:5" ht="15.75" customHeight="1" x14ac:dyDescent="0.35">
      <c r="A26" s="8" t="s">
        <v>5249</v>
      </c>
      <c r="B26" s="8" t="s">
        <v>1064</v>
      </c>
      <c r="C26" s="8" t="s">
        <v>1065</v>
      </c>
      <c r="D26" s="9">
        <v>440</v>
      </c>
      <c r="E26" s="8" t="s">
        <v>5252</v>
      </c>
    </row>
    <row r="27" spans="1:5" ht="15.75" customHeight="1" x14ac:dyDescent="0.35">
      <c r="A27" s="10" t="s">
        <v>5249</v>
      </c>
      <c r="B27" s="10" t="s">
        <v>1068</v>
      </c>
      <c r="C27" s="10" t="s">
        <v>1069</v>
      </c>
      <c r="D27" s="11">
        <v>135</v>
      </c>
      <c r="E27" s="10"/>
    </row>
    <row r="28" spans="1:5" ht="15.75" customHeight="1" x14ac:dyDescent="0.35">
      <c r="A28" s="8" t="s">
        <v>5237</v>
      </c>
      <c r="B28" s="8" t="s">
        <v>1072</v>
      </c>
      <c r="C28" s="8" t="s">
        <v>1073</v>
      </c>
      <c r="D28" s="9">
        <v>340</v>
      </c>
      <c r="E28" s="8"/>
    </row>
    <row r="29" spans="1:5" ht="15.75" customHeight="1" x14ac:dyDescent="0.35">
      <c r="A29" s="10" t="s">
        <v>5218</v>
      </c>
      <c r="B29" s="10" t="s">
        <v>1076</v>
      </c>
      <c r="C29" s="10" t="s">
        <v>1077</v>
      </c>
      <c r="D29" s="11">
        <v>148</v>
      </c>
      <c r="E29" s="10"/>
    </row>
    <row r="30" spans="1:5" ht="15.75" customHeight="1" x14ac:dyDescent="0.35">
      <c r="A30" s="8" t="s">
        <v>5218</v>
      </c>
      <c r="B30" s="8" t="s">
        <v>1080</v>
      </c>
      <c r="C30" s="8" t="s">
        <v>1081</v>
      </c>
      <c r="D30" s="9">
        <v>18</v>
      </c>
      <c r="E30" s="8"/>
    </row>
    <row r="31" spans="1:5" ht="15.75" customHeight="1" x14ac:dyDescent="0.35">
      <c r="A31" s="10" t="s">
        <v>5218</v>
      </c>
      <c r="B31" s="10" t="s">
        <v>1084</v>
      </c>
      <c r="C31" s="10" t="s">
        <v>1085</v>
      </c>
      <c r="D31" s="11">
        <v>27.93</v>
      </c>
      <c r="E31" s="10"/>
    </row>
    <row r="32" spans="1:5" ht="15.75" customHeight="1" x14ac:dyDescent="0.35">
      <c r="A32" s="8" t="s">
        <v>5218</v>
      </c>
      <c r="B32" s="8" t="s">
        <v>1088</v>
      </c>
      <c r="C32" s="8" t="s">
        <v>1089</v>
      </c>
      <c r="D32" s="9">
        <v>11.76</v>
      </c>
      <c r="E32" s="8"/>
    </row>
    <row r="33" spans="1:5" ht="15.75" customHeight="1" x14ac:dyDescent="0.35">
      <c r="A33" s="10" t="s">
        <v>5253</v>
      </c>
      <c r="B33" s="10" t="s">
        <v>1092</v>
      </c>
      <c r="C33" s="10" t="s">
        <v>1093</v>
      </c>
      <c r="D33" s="11">
        <v>105</v>
      </c>
      <c r="E33" s="10" t="s">
        <v>5254</v>
      </c>
    </row>
    <row r="34" spans="1:5" ht="15.75" customHeight="1" x14ac:dyDescent="0.35">
      <c r="A34" s="8" t="s">
        <v>5253</v>
      </c>
      <c r="B34" s="8" t="s">
        <v>1096</v>
      </c>
      <c r="C34" s="8" t="s">
        <v>1097</v>
      </c>
      <c r="D34" s="9">
        <v>121</v>
      </c>
      <c r="E34" s="8"/>
    </row>
    <row r="35" spans="1:5" ht="15.75" customHeight="1" x14ac:dyDescent="0.35">
      <c r="A35" s="10" t="s">
        <v>5253</v>
      </c>
      <c r="B35" s="10" t="s">
        <v>1100</v>
      </c>
      <c r="C35" s="10" t="s">
        <v>1101</v>
      </c>
      <c r="D35" s="11">
        <v>168</v>
      </c>
      <c r="E35" s="10"/>
    </row>
    <row r="36" spans="1:5" ht="15.75" customHeight="1" x14ac:dyDescent="0.35">
      <c r="A36" s="8" t="s">
        <v>5253</v>
      </c>
      <c r="B36" s="8" t="s">
        <v>1104</v>
      </c>
      <c r="C36" s="8" t="s">
        <v>1105</v>
      </c>
      <c r="D36" s="9">
        <v>234</v>
      </c>
      <c r="E36" s="8" t="s">
        <v>5255</v>
      </c>
    </row>
    <row r="37" spans="1:5" ht="15.75" customHeight="1" x14ac:dyDescent="0.35">
      <c r="A37" s="10" t="s">
        <v>5253</v>
      </c>
      <c r="B37" s="10" t="s">
        <v>1108</v>
      </c>
      <c r="C37" s="10" t="s">
        <v>1109</v>
      </c>
      <c r="D37" s="11">
        <v>285</v>
      </c>
      <c r="E37" s="10" t="s">
        <v>5256</v>
      </c>
    </row>
    <row r="38" spans="1:5" ht="15.75" customHeight="1" x14ac:dyDescent="0.35">
      <c r="A38" s="8" t="s">
        <v>5253</v>
      </c>
      <c r="B38" s="8" t="s">
        <v>1112</v>
      </c>
      <c r="C38" s="8" t="s">
        <v>1113</v>
      </c>
      <c r="D38" s="9">
        <v>188</v>
      </c>
      <c r="E38" s="8" t="s">
        <v>5257</v>
      </c>
    </row>
    <row r="39" spans="1:5" ht="15.75" customHeight="1" x14ac:dyDescent="0.35">
      <c r="A39" s="10" t="s">
        <v>5253</v>
      </c>
      <c r="B39" s="10" t="s">
        <v>1116</v>
      </c>
      <c r="C39" s="10" t="s">
        <v>1117</v>
      </c>
      <c r="D39" s="11">
        <v>169</v>
      </c>
      <c r="E39" s="10" t="s">
        <v>5258</v>
      </c>
    </row>
    <row r="40" spans="1:5" ht="15.75" customHeight="1" x14ac:dyDescent="0.35">
      <c r="A40" s="8" t="s">
        <v>5253</v>
      </c>
      <c r="B40" s="8" t="s">
        <v>1120</v>
      </c>
      <c r="C40" s="8" t="s">
        <v>1121</v>
      </c>
      <c r="D40" s="9">
        <v>267</v>
      </c>
      <c r="E40" s="8" t="s">
        <v>5259</v>
      </c>
    </row>
    <row r="41" spans="1:5" ht="15.75" customHeight="1" x14ac:dyDescent="0.35">
      <c r="A41" s="10" t="s">
        <v>5253</v>
      </c>
      <c r="B41" s="10" t="s">
        <v>1124</v>
      </c>
      <c r="C41" s="10" t="s">
        <v>1125</v>
      </c>
      <c r="D41" s="11">
        <v>10</v>
      </c>
      <c r="E41" s="10"/>
    </row>
    <row r="42" spans="1:5" ht="15.75" customHeight="1" x14ac:dyDescent="0.35">
      <c r="A42" s="8" t="s">
        <v>5253</v>
      </c>
      <c r="B42" s="8" t="s">
        <v>1128</v>
      </c>
      <c r="C42" s="8" t="s">
        <v>1129</v>
      </c>
      <c r="D42" s="9">
        <v>50</v>
      </c>
      <c r="E42" s="8" t="s">
        <v>5260</v>
      </c>
    </row>
    <row r="43" spans="1:5" ht="15.75" customHeight="1" x14ac:dyDescent="0.35">
      <c r="A43" s="10" t="s">
        <v>5253</v>
      </c>
      <c r="B43" s="10" t="s">
        <v>1132</v>
      </c>
      <c r="C43" s="10" t="s">
        <v>1133</v>
      </c>
      <c r="D43" s="11">
        <v>64.680000000000007</v>
      </c>
      <c r="E43" s="10"/>
    </row>
    <row r="44" spans="1:5" ht="15.75" customHeight="1" x14ac:dyDescent="0.35">
      <c r="A44" s="8" t="s">
        <v>5253</v>
      </c>
      <c r="B44" s="8" t="s">
        <v>1136</v>
      </c>
      <c r="C44" s="8" t="s">
        <v>1137</v>
      </c>
      <c r="D44" s="9">
        <v>66</v>
      </c>
      <c r="E44" s="8"/>
    </row>
    <row r="45" spans="1:5" ht="15.75" customHeight="1" x14ac:dyDescent="0.35">
      <c r="A45" s="10" t="s">
        <v>5253</v>
      </c>
      <c r="B45" s="10" t="s">
        <v>1140</v>
      </c>
      <c r="C45" s="10" t="s">
        <v>1141</v>
      </c>
      <c r="D45" s="11">
        <v>90</v>
      </c>
      <c r="E45" s="10" t="s">
        <v>5261</v>
      </c>
    </row>
    <row r="46" spans="1:5" ht="15.75" customHeight="1" x14ac:dyDescent="0.35">
      <c r="A46" s="8" t="s">
        <v>5253</v>
      </c>
      <c r="B46" s="8" t="s">
        <v>1144</v>
      </c>
      <c r="C46" s="8" t="s">
        <v>1145</v>
      </c>
      <c r="D46" s="9">
        <v>84.53</v>
      </c>
      <c r="E46" s="8"/>
    </row>
    <row r="47" spans="1:5" ht="15.75" customHeight="1" x14ac:dyDescent="0.35">
      <c r="A47" s="10" t="s">
        <v>5262</v>
      </c>
      <c r="B47" s="10" t="s">
        <v>1148</v>
      </c>
      <c r="C47" s="10" t="s">
        <v>1149</v>
      </c>
      <c r="D47" s="11">
        <v>152</v>
      </c>
      <c r="E47" s="10" t="s">
        <v>5263</v>
      </c>
    </row>
    <row r="48" spans="1:5" ht="15.75" customHeight="1" x14ac:dyDescent="0.35">
      <c r="A48" s="8" t="s">
        <v>5262</v>
      </c>
      <c r="B48" s="8" t="s">
        <v>1152</v>
      </c>
      <c r="C48" s="8" t="s">
        <v>1153</v>
      </c>
      <c r="D48" s="9">
        <v>189</v>
      </c>
      <c r="E48" s="8" t="s">
        <v>5264</v>
      </c>
    </row>
    <row r="49" spans="1:5" ht="15.75" customHeight="1" x14ac:dyDescent="0.35">
      <c r="A49" s="10" t="s">
        <v>5262</v>
      </c>
      <c r="B49" s="10" t="s">
        <v>1156</v>
      </c>
      <c r="C49" s="10" t="s">
        <v>1157</v>
      </c>
      <c r="D49" s="11">
        <v>182</v>
      </c>
      <c r="E49" s="10" t="s">
        <v>5263</v>
      </c>
    </row>
    <row r="50" spans="1:5" ht="15.75" customHeight="1" x14ac:dyDescent="0.35">
      <c r="A50" s="8" t="s">
        <v>5262</v>
      </c>
      <c r="B50" s="8" t="s">
        <v>1160</v>
      </c>
      <c r="C50" s="8" t="s">
        <v>1161</v>
      </c>
      <c r="D50" s="9">
        <v>184</v>
      </c>
      <c r="E50" s="8" t="s">
        <v>5263</v>
      </c>
    </row>
    <row r="51" spans="1:5" ht="15.75" customHeight="1" x14ac:dyDescent="0.35">
      <c r="A51" s="10" t="s">
        <v>5262</v>
      </c>
      <c r="B51" s="10" t="s">
        <v>1164</v>
      </c>
      <c r="C51" s="10" t="s">
        <v>1165</v>
      </c>
      <c r="D51" s="11">
        <v>190</v>
      </c>
      <c r="E51" s="10" t="s">
        <v>5263</v>
      </c>
    </row>
    <row r="52" spans="1:5" ht="15.75" customHeight="1" x14ac:dyDescent="0.35">
      <c r="A52" s="8" t="s">
        <v>5262</v>
      </c>
      <c r="B52" s="8" t="s">
        <v>1168</v>
      </c>
      <c r="C52" s="8" t="s">
        <v>1169</v>
      </c>
      <c r="D52" s="9">
        <v>182</v>
      </c>
      <c r="E52" s="8" t="s">
        <v>5263</v>
      </c>
    </row>
    <row r="53" spans="1:5" ht="15.75" customHeight="1" x14ac:dyDescent="0.35">
      <c r="A53" s="10" t="s">
        <v>5262</v>
      </c>
      <c r="B53" s="10" t="s">
        <v>1172</v>
      </c>
      <c r="C53" s="10" t="s">
        <v>1173</v>
      </c>
      <c r="D53" s="11">
        <v>182</v>
      </c>
      <c r="E53" s="10" t="s">
        <v>5264</v>
      </c>
    </row>
    <row r="54" spans="1:5" ht="15.75" customHeight="1" x14ac:dyDescent="0.35">
      <c r="A54" s="8" t="s">
        <v>5262</v>
      </c>
      <c r="B54" s="8" t="s">
        <v>1176</v>
      </c>
      <c r="C54" s="8" t="s">
        <v>1177</v>
      </c>
      <c r="D54" s="9">
        <v>183.5</v>
      </c>
      <c r="E54" s="8" t="s">
        <v>5264</v>
      </c>
    </row>
    <row r="55" spans="1:5" ht="15.75" customHeight="1" x14ac:dyDescent="0.35">
      <c r="A55" s="10" t="s">
        <v>5262</v>
      </c>
      <c r="B55" s="10" t="s">
        <v>1180</v>
      </c>
      <c r="C55" s="10" t="s">
        <v>1181</v>
      </c>
      <c r="D55" s="11">
        <v>189</v>
      </c>
      <c r="E55" s="10" t="s">
        <v>5264</v>
      </c>
    </row>
    <row r="56" spans="1:5" ht="15.75" customHeight="1" x14ac:dyDescent="0.35">
      <c r="A56" s="8" t="s">
        <v>5262</v>
      </c>
      <c r="B56" s="8" t="s">
        <v>1184</v>
      </c>
      <c r="C56" s="8" t="s">
        <v>1185</v>
      </c>
      <c r="D56" s="9">
        <v>11.2</v>
      </c>
      <c r="E56" s="8"/>
    </row>
    <row r="57" spans="1:5" ht="15.75" customHeight="1" x14ac:dyDescent="0.35">
      <c r="A57" s="10" t="s">
        <v>5262</v>
      </c>
      <c r="B57" s="10" t="s">
        <v>1188</v>
      </c>
      <c r="C57" s="10" t="s">
        <v>1189</v>
      </c>
      <c r="D57" s="11">
        <v>310</v>
      </c>
      <c r="E57" s="10"/>
    </row>
    <row r="58" spans="1:5" ht="15.75" customHeight="1" x14ac:dyDescent="0.35">
      <c r="A58" s="8" t="s">
        <v>5262</v>
      </c>
      <c r="B58" s="8" t="s">
        <v>1192</v>
      </c>
      <c r="C58" s="8" t="s">
        <v>1193</v>
      </c>
      <c r="D58" s="9">
        <v>130</v>
      </c>
      <c r="E58" s="8" t="s">
        <v>5265</v>
      </c>
    </row>
    <row r="59" spans="1:5" ht="15.75" customHeight="1" x14ac:dyDescent="0.35">
      <c r="A59" s="10" t="s">
        <v>5266</v>
      </c>
      <c r="B59" s="10" t="s">
        <v>1196</v>
      </c>
      <c r="C59" s="10" t="s">
        <v>1197</v>
      </c>
      <c r="D59" s="11">
        <v>60.75</v>
      </c>
      <c r="E59" s="10"/>
    </row>
    <row r="60" spans="1:5" ht="15.75" customHeight="1" x14ac:dyDescent="0.35">
      <c r="A60" s="8" t="s">
        <v>5266</v>
      </c>
      <c r="B60" s="8" t="s">
        <v>1200</v>
      </c>
      <c r="C60" s="8" t="s">
        <v>1197</v>
      </c>
      <c r="D60" s="9">
        <v>69.83</v>
      </c>
      <c r="E60" s="8"/>
    </row>
    <row r="61" spans="1:5" ht="15.75" customHeight="1" x14ac:dyDescent="0.35">
      <c r="A61" s="10" t="s">
        <v>5228</v>
      </c>
      <c r="B61" s="10" t="s">
        <v>1203</v>
      </c>
      <c r="C61" s="10" t="s">
        <v>1204</v>
      </c>
      <c r="D61" s="11">
        <v>200</v>
      </c>
      <c r="E61" s="10"/>
    </row>
    <row r="62" spans="1:5" ht="15.75" customHeight="1" x14ac:dyDescent="0.35">
      <c r="A62" s="8" t="s">
        <v>5228</v>
      </c>
      <c r="B62" s="8" t="s">
        <v>1207</v>
      </c>
      <c r="C62" s="8" t="s">
        <v>1208</v>
      </c>
      <c r="D62" s="9">
        <v>350</v>
      </c>
      <c r="E62" s="8" t="s">
        <v>5267</v>
      </c>
    </row>
    <row r="63" spans="1:5" ht="15.75" customHeight="1" x14ac:dyDescent="0.35">
      <c r="A63" s="10" t="s">
        <v>5268</v>
      </c>
      <c r="B63" s="10" t="s">
        <v>1211</v>
      </c>
      <c r="C63" s="10" t="s">
        <v>1212</v>
      </c>
      <c r="D63" s="11">
        <v>686</v>
      </c>
      <c r="E63" s="10" t="s">
        <v>5269</v>
      </c>
    </row>
    <row r="64" spans="1:5" ht="15.75" customHeight="1" x14ac:dyDescent="0.35">
      <c r="A64" s="8" t="s">
        <v>5268</v>
      </c>
      <c r="B64" s="8" t="s">
        <v>1215</v>
      </c>
      <c r="C64" s="8" t="s">
        <v>1216</v>
      </c>
      <c r="D64" s="9">
        <v>863</v>
      </c>
      <c r="E64" s="8" t="s">
        <v>5270</v>
      </c>
    </row>
    <row r="65" spans="1:5" ht="15.75" customHeight="1" x14ac:dyDescent="0.35">
      <c r="A65" s="10" t="s">
        <v>5268</v>
      </c>
      <c r="B65" s="10" t="s">
        <v>1219</v>
      </c>
      <c r="C65" s="10" t="s">
        <v>1220</v>
      </c>
      <c r="D65" s="11">
        <v>396</v>
      </c>
      <c r="E65" s="10" t="s">
        <v>5271</v>
      </c>
    </row>
    <row r="66" spans="1:5" ht="15.75" customHeight="1" x14ac:dyDescent="0.35">
      <c r="A66" s="8" t="s">
        <v>5268</v>
      </c>
      <c r="B66" s="8" t="s">
        <v>1223</v>
      </c>
      <c r="C66" s="8" t="s">
        <v>1224</v>
      </c>
      <c r="D66" s="9">
        <v>300</v>
      </c>
      <c r="E66" s="8" t="s">
        <v>5272</v>
      </c>
    </row>
    <row r="67" spans="1:5" ht="15.75" customHeight="1" x14ac:dyDescent="0.35">
      <c r="A67" s="10" t="s">
        <v>5268</v>
      </c>
      <c r="B67" s="10" t="s">
        <v>1227</v>
      </c>
      <c r="C67" s="10" t="s">
        <v>1228</v>
      </c>
      <c r="D67" s="11">
        <v>325</v>
      </c>
      <c r="E67" s="10" t="s">
        <v>5273</v>
      </c>
    </row>
    <row r="68" spans="1:5" ht="15.75" customHeight="1" x14ac:dyDescent="0.35">
      <c r="A68" s="8" t="s">
        <v>5268</v>
      </c>
      <c r="B68" s="8" t="s">
        <v>1231</v>
      </c>
      <c r="C68" s="8" t="s">
        <v>1232</v>
      </c>
      <c r="D68" s="9">
        <v>290</v>
      </c>
      <c r="E68" s="8" t="s">
        <v>5274</v>
      </c>
    </row>
    <row r="69" spans="1:5" ht="15.75" customHeight="1" x14ac:dyDescent="0.35">
      <c r="A69" s="10" t="s">
        <v>5268</v>
      </c>
      <c r="B69" s="10" t="s">
        <v>1235</v>
      </c>
      <c r="C69" s="10" t="s">
        <v>1236</v>
      </c>
      <c r="D69" s="11">
        <v>296</v>
      </c>
      <c r="E69" s="10" t="s">
        <v>5275</v>
      </c>
    </row>
    <row r="70" spans="1:5" ht="15.75" customHeight="1" x14ac:dyDescent="0.35">
      <c r="A70" s="8" t="s">
        <v>5268</v>
      </c>
      <c r="B70" s="8" t="s">
        <v>1239</v>
      </c>
      <c r="C70" s="8" t="s">
        <v>1240</v>
      </c>
      <c r="D70" s="9">
        <v>478</v>
      </c>
      <c r="E70" s="8" t="s">
        <v>5275</v>
      </c>
    </row>
    <row r="71" spans="1:5" ht="15.75" customHeight="1" x14ac:dyDescent="0.35">
      <c r="A71" s="10" t="s">
        <v>5268</v>
      </c>
      <c r="B71" s="10" t="s">
        <v>1243</v>
      </c>
      <c r="C71" s="10" t="s">
        <v>1244</v>
      </c>
      <c r="D71" s="11">
        <v>315</v>
      </c>
      <c r="E71" s="10" t="s">
        <v>5276</v>
      </c>
    </row>
    <row r="72" spans="1:5" ht="15.75" customHeight="1" x14ac:dyDescent="0.35">
      <c r="A72" s="8" t="s">
        <v>5268</v>
      </c>
      <c r="B72" s="8" t="s">
        <v>1247</v>
      </c>
      <c r="C72" s="8" t="s">
        <v>1248</v>
      </c>
      <c r="D72" s="9">
        <v>316</v>
      </c>
      <c r="E72" s="8" t="s">
        <v>5277</v>
      </c>
    </row>
    <row r="73" spans="1:5" ht="15.75" customHeight="1" x14ac:dyDescent="0.35">
      <c r="A73" s="10" t="s">
        <v>5268</v>
      </c>
      <c r="B73" s="10" t="s">
        <v>1251</v>
      </c>
      <c r="C73" s="10" t="s">
        <v>1252</v>
      </c>
      <c r="D73" s="11">
        <v>296</v>
      </c>
      <c r="E73" s="10" t="s">
        <v>5275</v>
      </c>
    </row>
    <row r="74" spans="1:5" ht="15.75" customHeight="1" x14ac:dyDescent="0.35">
      <c r="A74" s="8" t="s">
        <v>5278</v>
      </c>
      <c r="B74" s="8" t="s">
        <v>1255</v>
      </c>
      <c r="C74" s="8" t="s">
        <v>1256</v>
      </c>
      <c r="D74" s="9">
        <v>430</v>
      </c>
      <c r="E74" s="8" t="s">
        <v>5279</v>
      </c>
    </row>
    <row r="75" spans="1:5" ht="15.75" customHeight="1" x14ac:dyDescent="0.35">
      <c r="A75" s="10" t="s">
        <v>5278</v>
      </c>
      <c r="B75" s="10" t="s">
        <v>1259</v>
      </c>
      <c r="C75" s="10" t="s">
        <v>1260</v>
      </c>
      <c r="D75" s="11">
        <v>14.7</v>
      </c>
      <c r="E75" s="10"/>
    </row>
    <row r="76" spans="1:5" ht="15.75" customHeight="1" x14ac:dyDescent="0.35">
      <c r="A76" s="8" t="s">
        <v>5278</v>
      </c>
      <c r="B76" s="8" t="s">
        <v>1263</v>
      </c>
      <c r="C76" s="8" t="s">
        <v>1264</v>
      </c>
      <c r="D76" s="9">
        <v>9.92</v>
      </c>
      <c r="E76" s="8" t="s">
        <v>5280</v>
      </c>
    </row>
    <row r="77" spans="1:5" ht="15.75" customHeight="1" x14ac:dyDescent="0.35">
      <c r="A77" s="10" t="s">
        <v>5278</v>
      </c>
      <c r="B77" s="10" t="s">
        <v>1267</v>
      </c>
      <c r="C77" s="10" t="s">
        <v>1268</v>
      </c>
      <c r="D77" s="11">
        <v>11.03</v>
      </c>
      <c r="E77" s="10"/>
    </row>
    <row r="78" spans="1:5" ht="19.5" customHeight="1" x14ac:dyDescent="0.35">
      <c r="A78" s="68" t="s">
        <v>5281</v>
      </c>
      <c r="B78" s="68"/>
      <c r="C78" s="68"/>
      <c r="D78" s="13">
        <v>27108.97</v>
      </c>
      <c r="E78" s="14" t="s">
        <v>5282</v>
      </c>
    </row>
  </sheetData>
  <mergeCells count="3">
    <mergeCell ref="A1:E1"/>
    <mergeCell ref="A2:E2"/>
    <mergeCell ref="A78:C7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7"/>
  <sheetViews>
    <sheetView zoomScaleNormal="100" workbookViewId="0">
      <selection sqref="A1:E1"/>
    </sheetView>
  </sheetViews>
  <sheetFormatPr defaultColWidth="8.6328125" defaultRowHeight="14.5" x14ac:dyDescent="0.35"/>
  <cols>
    <col min="1" max="1" width="24" style="6" customWidth="1"/>
    <col min="2" max="2" width="20" style="6" customWidth="1"/>
    <col min="3" max="3" width="60" style="6" customWidth="1"/>
    <col min="4" max="4" width="16" style="6" customWidth="1"/>
    <col min="5" max="5" width="44" style="6" customWidth="1"/>
  </cols>
  <sheetData>
    <row r="1" spans="1:5" ht="30" customHeight="1" x14ac:dyDescent="0.35">
      <c r="A1" s="69" t="s">
        <v>5283</v>
      </c>
      <c r="B1" s="69"/>
      <c r="C1" s="69"/>
      <c r="D1" s="69"/>
      <c r="E1" s="69"/>
    </row>
    <row r="2" spans="1:5" ht="15.75" customHeight="1" x14ac:dyDescent="0.35">
      <c r="A2" s="66" t="s">
        <v>5284</v>
      </c>
      <c r="B2" s="66"/>
      <c r="C2" s="66"/>
      <c r="D2" s="66"/>
      <c r="E2" s="66"/>
    </row>
    <row r="3" spans="1:5" ht="27.75" customHeight="1" x14ac:dyDescent="0.35">
      <c r="A3" s="15" t="s">
        <v>5178</v>
      </c>
      <c r="B3" s="15" t="s">
        <v>5285</v>
      </c>
      <c r="C3" s="15" t="s">
        <v>15</v>
      </c>
      <c r="D3" s="15" t="s">
        <v>5286</v>
      </c>
      <c r="E3" s="15" t="s">
        <v>5181</v>
      </c>
    </row>
    <row r="4" spans="1:5" ht="15.75" customHeight="1" x14ac:dyDescent="0.35">
      <c r="A4" s="8" t="s">
        <v>5287</v>
      </c>
      <c r="B4" s="8" t="s">
        <v>1272</v>
      </c>
      <c r="C4" s="8" t="s">
        <v>688</v>
      </c>
      <c r="D4" s="9">
        <v>4575</v>
      </c>
      <c r="E4" s="8"/>
    </row>
    <row r="5" spans="1:5" ht="15.75" customHeight="1" x14ac:dyDescent="0.35">
      <c r="A5" s="10" t="s">
        <v>5287</v>
      </c>
      <c r="B5" s="10" t="s">
        <v>1275</v>
      </c>
      <c r="C5" s="10" t="s">
        <v>692</v>
      </c>
      <c r="D5" s="11">
        <v>5630</v>
      </c>
      <c r="E5" s="10"/>
    </row>
    <row r="6" spans="1:5" ht="15.75" customHeight="1" x14ac:dyDescent="0.35">
      <c r="A6" s="8" t="s">
        <v>5287</v>
      </c>
      <c r="B6" s="8" t="s">
        <v>1278</v>
      </c>
      <c r="C6" s="8" t="s">
        <v>696</v>
      </c>
      <c r="D6" s="9">
        <v>6240</v>
      </c>
      <c r="E6" s="8"/>
    </row>
    <row r="7" spans="1:5" ht="15.75" customHeight="1" x14ac:dyDescent="0.35">
      <c r="A7" s="10" t="s">
        <v>5287</v>
      </c>
      <c r="B7" s="10" t="s">
        <v>1281</v>
      </c>
      <c r="C7" s="10" t="s">
        <v>1282</v>
      </c>
      <c r="D7" s="11">
        <v>47.23</v>
      </c>
      <c r="E7" s="10"/>
    </row>
    <row r="8" spans="1:5" ht="15.75" customHeight="1" x14ac:dyDescent="0.35">
      <c r="A8" s="8" t="s">
        <v>5287</v>
      </c>
      <c r="B8" s="8" t="s">
        <v>1285</v>
      </c>
      <c r="C8" s="8" t="s">
        <v>1286</v>
      </c>
      <c r="D8" s="9">
        <v>98</v>
      </c>
      <c r="E8" s="8"/>
    </row>
    <row r="9" spans="1:5" ht="15.75" customHeight="1" x14ac:dyDescent="0.35">
      <c r="A9" s="10" t="s">
        <v>5287</v>
      </c>
      <c r="B9" s="10" t="s">
        <v>1289</v>
      </c>
      <c r="C9" s="10" t="s">
        <v>1290</v>
      </c>
      <c r="D9" s="11">
        <v>1294</v>
      </c>
      <c r="E9" s="10"/>
    </row>
    <row r="10" spans="1:5" ht="15.75" customHeight="1" x14ac:dyDescent="0.35">
      <c r="A10" s="8" t="s">
        <v>5287</v>
      </c>
      <c r="B10" s="8" t="s">
        <v>1293</v>
      </c>
      <c r="C10" s="8" t="s">
        <v>1294</v>
      </c>
      <c r="D10" s="9">
        <v>513.34</v>
      </c>
      <c r="E10" s="8"/>
    </row>
    <row r="11" spans="1:5" ht="15.75" customHeight="1" x14ac:dyDescent="0.35">
      <c r="A11" s="10" t="s">
        <v>5287</v>
      </c>
      <c r="B11" s="10" t="s">
        <v>1297</v>
      </c>
      <c r="C11" s="10" t="s">
        <v>1298</v>
      </c>
      <c r="D11" s="11">
        <v>2060.23</v>
      </c>
      <c r="E11" s="10"/>
    </row>
    <row r="12" spans="1:5" ht="15.75" customHeight="1" x14ac:dyDescent="0.35">
      <c r="A12" s="8" t="s">
        <v>5288</v>
      </c>
      <c r="B12" s="8" t="s">
        <v>1301</v>
      </c>
      <c r="C12" s="8" t="s">
        <v>1302</v>
      </c>
      <c r="D12" s="9">
        <v>8994</v>
      </c>
      <c r="E12" s="8"/>
    </row>
    <row r="13" spans="1:5" ht="15.75" customHeight="1" x14ac:dyDescent="0.35">
      <c r="A13" s="10" t="s">
        <v>5288</v>
      </c>
      <c r="B13" s="10" t="s">
        <v>1305</v>
      </c>
      <c r="C13" s="10" t="s">
        <v>1306</v>
      </c>
      <c r="D13" s="11">
        <v>9635</v>
      </c>
      <c r="E13" s="10"/>
    </row>
    <row r="14" spans="1:5" ht="15.75" customHeight="1" x14ac:dyDescent="0.35">
      <c r="A14" s="8" t="s">
        <v>5289</v>
      </c>
      <c r="B14" s="8" t="s">
        <v>1309</v>
      </c>
      <c r="C14" s="8" t="s">
        <v>1310</v>
      </c>
      <c r="D14" s="9">
        <v>16.75</v>
      </c>
      <c r="E14" s="8"/>
    </row>
    <row r="15" spans="1:5" ht="15.75" customHeight="1" x14ac:dyDescent="0.35">
      <c r="A15" s="10" t="s">
        <v>5289</v>
      </c>
      <c r="B15" s="10" t="s">
        <v>1313</v>
      </c>
      <c r="C15" s="10" t="s">
        <v>1314</v>
      </c>
      <c r="D15" s="11">
        <v>17.91</v>
      </c>
      <c r="E15" s="10"/>
    </row>
    <row r="16" spans="1:5" ht="15.75" customHeight="1" x14ac:dyDescent="0.35">
      <c r="A16" s="8" t="s">
        <v>5289</v>
      </c>
      <c r="B16" s="8" t="s">
        <v>1317</v>
      </c>
      <c r="C16" s="8" t="s">
        <v>1318</v>
      </c>
      <c r="D16" s="9">
        <v>20.52</v>
      </c>
      <c r="E16" s="8"/>
    </row>
    <row r="17" spans="1:5" ht="15.75" customHeight="1" x14ac:dyDescent="0.35">
      <c r="A17" s="10" t="s">
        <v>5289</v>
      </c>
      <c r="B17" s="10" t="s">
        <v>1321</v>
      </c>
      <c r="C17" s="10" t="s">
        <v>1322</v>
      </c>
      <c r="D17" s="11">
        <v>17.63</v>
      </c>
      <c r="E17" s="10"/>
    </row>
    <row r="18" spans="1:5" ht="15.75" customHeight="1" x14ac:dyDescent="0.35">
      <c r="A18" s="8" t="s">
        <v>5289</v>
      </c>
      <c r="B18" s="8" t="s">
        <v>1325</v>
      </c>
      <c r="C18" s="8" t="s">
        <v>1326</v>
      </c>
      <c r="D18" s="9">
        <v>28.03</v>
      </c>
      <c r="E18" s="8"/>
    </row>
    <row r="19" spans="1:5" ht="15.75" customHeight="1" x14ac:dyDescent="0.35">
      <c r="A19" s="10" t="s">
        <v>5289</v>
      </c>
      <c r="B19" s="10" t="s">
        <v>1329</v>
      </c>
      <c r="C19" s="10" t="s">
        <v>1330</v>
      </c>
      <c r="D19" s="11">
        <v>40.6</v>
      </c>
      <c r="E19" s="10"/>
    </row>
    <row r="20" spans="1:5" ht="15.75" customHeight="1" x14ac:dyDescent="0.35">
      <c r="A20" s="8" t="s">
        <v>5289</v>
      </c>
      <c r="B20" s="8" t="s">
        <v>1333</v>
      </c>
      <c r="C20" s="8" t="s">
        <v>1334</v>
      </c>
      <c r="D20" s="9">
        <v>49.08</v>
      </c>
      <c r="E20" s="8"/>
    </row>
    <row r="21" spans="1:5" ht="15.75" customHeight="1" x14ac:dyDescent="0.35">
      <c r="A21" s="10" t="s">
        <v>5289</v>
      </c>
      <c r="B21" s="10" t="s">
        <v>1337</v>
      </c>
      <c r="C21" s="10" t="s">
        <v>1338</v>
      </c>
      <c r="D21" s="11">
        <v>55.78</v>
      </c>
      <c r="E21" s="10"/>
    </row>
    <row r="22" spans="1:5" ht="15.75" customHeight="1" x14ac:dyDescent="0.35">
      <c r="A22" s="8" t="s">
        <v>5289</v>
      </c>
      <c r="B22" s="8" t="s">
        <v>1341</v>
      </c>
      <c r="C22" s="8" t="s">
        <v>1342</v>
      </c>
      <c r="D22" s="9">
        <v>83.15</v>
      </c>
      <c r="E22" s="8"/>
    </row>
    <row r="23" spans="1:5" ht="15.75" customHeight="1" x14ac:dyDescent="0.35">
      <c r="A23" s="10" t="s">
        <v>5289</v>
      </c>
      <c r="B23" s="10" t="s">
        <v>1345</v>
      </c>
      <c r="C23" s="10" t="s">
        <v>1346</v>
      </c>
      <c r="D23" s="11">
        <v>116.22</v>
      </c>
      <c r="E23" s="10"/>
    </row>
    <row r="24" spans="1:5" ht="15.75" customHeight="1" x14ac:dyDescent="0.35">
      <c r="A24" s="8" t="s">
        <v>5289</v>
      </c>
      <c r="B24" s="8" t="s">
        <v>1349</v>
      </c>
      <c r="C24" s="8" t="s">
        <v>1350</v>
      </c>
      <c r="D24" s="9">
        <v>121.94</v>
      </c>
      <c r="E24" s="8"/>
    </row>
    <row r="25" spans="1:5" ht="15.75" customHeight="1" x14ac:dyDescent="0.35">
      <c r="A25" s="10" t="s">
        <v>5289</v>
      </c>
      <c r="B25" s="10" t="s">
        <v>1353</v>
      </c>
      <c r="C25" s="10" t="s">
        <v>1354</v>
      </c>
      <c r="D25" s="11">
        <v>136.57</v>
      </c>
      <c r="E25" s="10"/>
    </row>
    <row r="26" spans="1:5" ht="15.75" customHeight="1" x14ac:dyDescent="0.35">
      <c r="A26" s="8" t="s">
        <v>5289</v>
      </c>
      <c r="B26" s="8" t="s">
        <v>1357</v>
      </c>
      <c r="C26" s="8" t="s">
        <v>1358</v>
      </c>
      <c r="D26" s="9">
        <v>191.64</v>
      </c>
      <c r="E26" s="8"/>
    </row>
    <row r="27" spans="1:5" ht="15.75" customHeight="1" x14ac:dyDescent="0.35">
      <c r="A27" s="10" t="s">
        <v>5289</v>
      </c>
      <c r="B27" s="10" t="s">
        <v>1361</v>
      </c>
      <c r="C27" s="10" t="s">
        <v>1362</v>
      </c>
      <c r="D27" s="11">
        <v>203.04</v>
      </c>
      <c r="E27" s="10"/>
    </row>
    <row r="28" spans="1:5" ht="15.75" customHeight="1" x14ac:dyDescent="0.35">
      <c r="A28" s="8" t="s">
        <v>5289</v>
      </c>
      <c r="B28" s="8" t="s">
        <v>1365</v>
      </c>
      <c r="C28" s="8" t="s">
        <v>1366</v>
      </c>
      <c r="D28" s="9">
        <v>230.74</v>
      </c>
      <c r="E28" s="8"/>
    </row>
    <row r="29" spans="1:5" ht="15.75" customHeight="1" x14ac:dyDescent="0.35">
      <c r="A29" s="10" t="s">
        <v>5289</v>
      </c>
      <c r="B29" s="10" t="s">
        <v>1369</v>
      </c>
      <c r="C29" s="10" t="s">
        <v>1370</v>
      </c>
      <c r="D29" s="11">
        <v>272.14999999999998</v>
      </c>
      <c r="E29" s="10"/>
    </row>
    <row r="30" spans="1:5" ht="15.75" customHeight="1" x14ac:dyDescent="0.35">
      <c r="A30" s="8" t="s">
        <v>5289</v>
      </c>
      <c r="B30" s="8" t="s">
        <v>1373</v>
      </c>
      <c r="C30" s="8" t="s">
        <v>1374</v>
      </c>
      <c r="D30" s="9">
        <v>279.83999999999997</v>
      </c>
      <c r="E30" s="8"/>
    </row>
    <row r="31" spans="1:5" ht="15.75" customHeight="1" x14ac:dyDescent="0.35">
      <c r="A31" s="10" t="s">
        <v>5289</v>
      </c>
      <c r="B31" s="10" t="s">
        <v>1377</v>
      </c>
      <c r="C31" s="10" t="s">
        <v>1378</v>
      </c>
      <c r="D31" s="11">
        <v>345.99</v>
      </c>
      <c r="E31" s="10"/>
    </row>
    <row r="32" spans="1:5" ht="15.75" customHeight="1" x14ac:dyDescent="0.35">
      <c r="A32" s="8" t="s">
        <v>5289</v>
      </c>
      <c r="B32" s="8" t="s">
        <v>1381</v>
      </c>
      <c r="C32" s="8" t="s">
        <v>1382</v>
      </c>
      <c r="D32" s="9">
        <v>408.9</v>
      </c>
      <c r="E32" s="8"/>
    </row>
    <row r="33" spans="1:5" ht="15.75" customHeight="1" x14ac:dyDescent="0.35">
      <c r="A33" s="10" t="s">
        <v>5289</v>
      </c>
      <c r="B33" s="10" t="s">
        <v>1385</v>
      </c>
      <c r="C33" s="10" t="s">
        <v>1386</v>
      </c>
      <c r="D33" s="11">
        <v>596.48</v>
      </c>
      <c r="E33" s="10"/>
    </row>
    <row r="34" spans="1:5" ht="15.75" customHeight="1" x14ac:dyDescent="0.35">
      <c r="A34" s="8" t="s">
        <v>5289</v>
      </c>
      <c r="B34" s="8" t="s">
        <v>1389</v>
      </c>
      <c r="C34" s="8" t="s">
        <v>1390</v>
      </c>
      <c r="D34" s="9">
        <v>650.26</v>
      </c>
      <c r="E34" s="8"/>
    </row>
    <row r="35" spans="1:5" ht="15.75" customHeight="1" x14ac:dyDescent="0.35">
      <c r="A35" s="10" t="s">
        <v>5289</v>
      </c>
      <c r="B35" s="10" t="s">
        <v>1393</v>
      </c>
      <c r="C35" s="10" t="s">
        <v>1394</v>
      </c>
      <c r="D35" s="11">
        <v>692.92</v>
      </c>
      <c r="E35" s="10"/>
    </row>
    <row r="36" spans="1:5" ht="15.75" customHeight="1" x14ac:dyDescent="0.35">
      <c r="A36" s="8" t="s">
        <v>5290</v>
      </c>
      <c r="B36" s="8" t="s">
        <v>1397</v>
      </c>
      <c r="C36" s="8" t="s">
        <v>1398</v>
      </c>
      <c r="D36" s="9">
        <v>90.66</v>
      </c>
      <c r="E36" s="8"/>
    </row>
    <row r="37" spans="1:5" ht="15.75" customHeight="1" x14ac:dyDescent="0.35">
      <c r="A37" s="10" t="s">
        <v>5290</v>
      </c>
      <c r="B37" s="10" t="s">
        <v>1401</v>
      </c>
      <c r="C37" s="10" t="s">
        <v>1402</v>
      </c>
      <c r="D37" s="11">
        <v>119.21</v>
      </c>
      <c r="E37" s="10"/>
    </row>
    <row r="38" spans="1:5" ht="15.75" customHeight="1" x14ac:dyDescent="0.35">
      <c r="A38" s="8" t="s">
        <v>5290</v>
      </c>
      <c r="B38" s="8" t="s">
        <v>1405</v>
      </c>
      <c r="C38" s="8" t="s">
        <v>1406</v>
      </c>
      <c r="D38" s="9">
        <v>133.43</v>
      </c>
      <c r="E38" s="8"/>
    </row>
    <row r="39" spans="1:5" ht="15.75" customHeight="1" x14ac:dyDescent="0.35">
      <c r="A39" s="10" t="s">
        <v>5290</v>
      </c>
      <c r="B39" s="10" t="s">
        <v>1409</v>
      </c>
      <c r="C39" s="10" t="s">
        <v>1410</v>
      </c>
      <c r="D39" s="11">
        <v>199.1</v>
      </c>
      <c r="E39" s="10"/>
    </row>
    <row r="40" spans="1:5" ht="15.75" customHeight="1" x14ac:dyDescent="0.35">
      <c r="A40" s="8" t="s">
        <v>5290</v>
      </c>
      <c r="B40" s="8" t="s">
        <v>1413</v>
      </c>
      <c r="C40" s="8" t="s">
        <v>1414</v>
      </c>
      <c r="D40" s="9">
        <v>236.25</v>
      </c>
      <c r="E40" s="8"/>
    </row>
    <row r="41" spans="1:5" ht="15.75" customHeight="1" x14ac:dyDescent="0.35">
      <c r="A41" s="10" t="s">
        <v>5290</v>
      </c>
      <c r="B41" s="10" t="s">
        <v>1417</v>
      </c>
      <c r="C41" s="10" t="s">
        <v>1418</v>
      </c>
      <c r="D41" s="11">
        <v>262.58999999999997</v>
      </c>
      <c r="E41" s="10"/>
    </row>
    <row r="42" spans="1:5" ht="15.75" customHeight="1" x14ac:dyDescent="0.35">
      <c r="A42" s="8" t="s">
        <v>5290</v>
      </c>
      <c r="B42" s="8" t="s">
        <v>1421</v>
      </c>
      <c r="C42" s="8" t="s">
        <v>1422</v>
      </c>
      <c r="D42" s="9">
        <v>293.39</v>
      </c>
      <c r="E42" s="8"/>
    </row>
    <row r="43" spans="1:5" ht="15.75" customHeight="1" x14ac:dyDescent="0.35">
      <c r="A43" s="10" t="s">
        <v>5290</v>
      </c>
      <c r="B43" s="10" t="s">
        <v>1425</v>
      </c>
      <c r="C43" s="10" t="s">
        <v>1426</v>
      </c>
      <c r="D43" s="11">
        <v>364</v>
      </c>
      <c r="E43" s="10"/>
    </row>
    <row r="44" spans="1:5" ht="15.75" customHeight="1" x14ac:dyDescent="0.35">
      <c r="A44" s="8" t="s">
        <v>5290</v>
      </c>
      <c r="B44" s="8" t="s">
        <v>1429</v>
      </c>
      <c r="C44" s="8" t="s">
        <v>1430</v>
      </c>
      <c r="D44" s="9">
        <v>449.07</v>
      </c>
      <c r="E44" s="8"/>
    </row>
    <row r="45" spans="1:5" ht="15.75" customHeight="1" x14ac:dyDescent="0.35">
      <c r="A45" s="10" t="s">
        <v>5290</v>
      </c>
      <c r="B45" s="10" t="s">
        <v>1433</v>
      </c>
      <c r="C45" s="10" t="s">
        <v>1434</v>
      </c>
      <c r="D45" s="11">
        <v>687.21</v>
      </c>
      <c r="E45" s="10"/>
    </row>
    <row r="46" spans="1:5" ht="15.75" customHeight="1" x14ac:dyDescent="0.35">
      <c r="A46" s="8" t="s">
        <v>5291</v>
      </c>
      <c r="B46" s="8" t="s">
        <v>1437</v>
      </c>
      <c r="C46" s="8" t="s">
        <v>1438</v>
      </c>
      <c r="D46" s="9">
        <v>7.56</v>
      </c>
      <c r="E46" s="8"/>
    </row>
    <row r="47" spans="1:5" ht="15.75" customHeight="1" x14ac:dyDescent="0.35">
      <c r="A47" s="10" t="s">
        <v>5291</v>
      </c>
      <c r="B47" s="10" t="s">
        <v>1441</v>
      </c>
      <c r="C47" s="10" t="s">
        <v>1442</v>
      </c>
      <c r="D47" s="11">
        <v>297</v>
      </c>
      <c r="E47" s="10"/>
    </row>
    <row r="48" spans="1:5" ht="15.75" customHeight="1" x14ac:dyDescent="0.35">
      <c r="A48" s="8" t="s">
        <v>5291</v>
      </c>
      <c r="B48" s="8" t="s">
        <v>1445</v>
      </c>
      <c r="C48" s="8" t="s">
        <v>1446</v>
      </c>
      <c r="D48" s="9">
        <v>1148</v>
      </c>
      <c r="E48" s="8"/>
    </row>
    <row r="49" spans="1:5" ht="15.75" customHeight="1" x14ac:dyDescent="0.35">
      <c r="A49" s="10" t="s">
        <v>5292</v>
      </c>
      <c r="B49" s="10" t="s">
        <v>1449</v>
      </c>
      <c r="C49" s="10" t="s">
        <v>1450</v>
      </c>
      <c r="D49" s="11">
        <v>146.02000000000001</v>
      </c>
      <c r="E49" s="10"/>
    </row>
    <row r="50" spans="1:5" ht="15.75" customHeight="1" x14ac:dyDescent="0.35">
      <c r="A50" s="8" t="s">
        <v>5292</v>
      </c>
      <c r="B50" s="8" t="s">
        <v>1453</v>
      </c>
      <c r="C50" s="8" t="s">
        <v>1454</v>
      </c>
      <c r="D50" s="9">
        <v>146.02000000000001</v>
      </c>
      <c r="E50" s="8"/>
    </row>
    <row r="51" spans="1:5" ht="15.75" customHeight="1" x14ac:dyDescent="0.35">
      <c r="A51" s="10" t="s">
        <v>5292</v>
      </c>
      <c r="B51" s="10" t="s">
        <v>1457</v>
      </c>
      <c r="C51" s="10" t="s">
        <v>1458</v>
      </c>
      <c r="D51" s="11">
        <v>146.02000000000001</v>
      </c>
      <c r="E51" s="10"/>
    </row>
    <row r="52" spans="1:5" ht="15.75" customHeight="1" x14ac:dyDescent="0.35">
      <c r="A52" s="8" t="s">
        <v>5292</v>
      </c>
      <c r="B52" s="8" t="s">
        <v>1461</v>
      </c>
      <c r="C52" s="8" t="s">
        <v>1462</v>
      </c>
      <c r="D52" s="9">
        <v>675</v>
      </c>
      <c r="E52" s="8"/>
    </row>
    <row r="53" spans="1:5" ht="15.75" customHeight="1" x14ac:dyDescent="0.35">
      <c r="A53" s="10" t="s">
        <v>5292</v>
      </c>
      <c r="B53" s="10" t="s">
        <v>1465</v>
      </c>
      <c r="C53" s="10" t="s">
        <v>1466</v>
      </c>
      <c r="D53" s="11">
        <v>865</v>
      </c>
      <c r="E53" s="10"/>
    </row>
    <row r="54" spans="1:5" ht="15.75" customHeight="1" x14ac:dyDescent="0.35">
      <c r="A54" s="8" t="s">
        <v>5292</v>
      </c>
      <c r="B54" s="8" t="s">
        <v>1469</v>
      </c>
      <c r="C54" s="8" t="s">
        <v>1470</v>
      </c>
      <c r="D54" s="9">
        <v>1055</v>
      </c>
      <c r="E54" s="8"/>
    </row>
    <row r="55" spans="1:5" ht="15.75" customHeight="1" x14ac:dyDescent="0.35">
      <c r="A55" s="10" t="s">
        <v>5292</v>
      </c>
      <c r="B55" s="10" t="s">
        <v>1473</v>
      </c>
      <c r="C55" s="10" t="s">
        <v>1474</v>
      </c>
      <c r="D55" s="11">
        <v>875</v>
      </c>
      <c r="E55" s="10"/>
    </row>
    <row r="56" spans="1:5" ht="15.75" customHeight="1" x14ac:dyDescent="0.35">
      <c r="A56" s="8" t="s">
        <v>5293</v>
      </c>
      <c r="B56" s="8" t="s">
        <v>1477</v>
      </c>
      <c r="C56" s="8" t="s">
        <v>1478</v>
      </c>
      <c r="D56" s="9">
        <v>3.5</v>
      </c>
      <c r="E56" s="8" t="s">
        <v>5294</v>
      </c>
    </row>
    <row r="57" spans="1:5" ht="15.75" customHeight="1" x14ac:dyDescent="0.35">
      <c r="A57" s="10" t="s">
        <v>5293</v>
      </c>
      <c r="B57" s="10" t="s">
        <v>1481</v>
      </c>
      <c r="C57" s="10" t="s">
        <v>1482</v>
      </c>
      <c r="D57" s="11">
        <v>5.15</v>
      </c>
      <c r="E57" s="10" t="s">
        <v>5294</v>
      </c>
    </row>
    <row r="58" spans="1:5" ht="15.75" customHeight="1" x14ac:dyDescent="0.35">
      <c r="A58" s="8" t="s">
        <v>5293</v>
      </c>
      <c r="B58" s="8" t="s">
        <v>1485</v>
      </c>
      <c r="C58" s="8" t="s">
        <v>1486</v>
      </c>
      <c r="D58" s="9">
        <v>25.52</v>
      </c>
      <c r="E58" s="8" t="s">
        <v>5294</v>
      </c>
    </row>
    <row r="59" spans="1:5" ht="15.75" customHeight="1" x14ac:dyDescent="0.35">
      <c r="A59" s="10" t="s">
        <v>5293</v>
      </c>
      <c r="B59" s="10" t="s">
        <v>1489</v>
      </c>
      <c r="C59" s="10" t="s">
        <v>1490</v>
      </c>
      <c r="D59" s="11">
        <v>77.5</v>
      </c>
      <c r="E59" s="10"/>
    </row>
    <row r="60" spans="1:5" ht="15.75" customHeight="1" x14ac:dyDescent="0.35">
      <c r="A60" s="8" t="s">
        <v>5295</v>
      </c>
      <c r="B60" s="8" t="s">
        <v>1493</v>
      </c>
      <c r="C60" s="8" t="s">
        <v>1494</v>
      </c>
      <c r="D60" s="9">
        <v>90.14</v>
      </c>
      <c r="E60" s="8"/>
    </row>
    <row r="61" spans="1:5" ht="15.75" customHeight="1" x14ac:dyDescent="0.35">
      <c r="A61" s="10" t="s">
        <v>5295</v>
      </c>
      <c r="B61" s="10" t="s">
        <v>1497</v>
      </c>
      <c r="C61" s="10" t="s">
        <v>1498</v>
      </c>
      <c r="D61" s="11">
        <v>90.14</v>
      </c>
      <c r="E61" s="10"/>
    </row>
    <row r="62" spans="1:5" ht="15.75" customHeight="1" x14ac:dyDescent="0.35">
      <c r="A62" s="8" t="s">
        <v>5295</v>
      </c>
      <c r="B62" s="8" t="s">
        <v>1501</v>
      </c>
      <c r="C62" s="8" t="s">
        <v>1502</v>
      </c>
      <c r="D62" s="9">
        <v>90.14</v>
      </c>
      <c r="E62" s="8"/>
    </row>
    <row r="63" spans="1:5" ht="15.75" customHeight="1" x14ac:dyDescent="0.35">
      <c r="A63" s="10" t="s">
        <v>5295</v>
      </c>
      <c r="B63" s="10" t="s">
        <v>1505</v>
      </c>
      <c r="C63" s="10" t="s">
        <v>1506</v>
      </c>
      <c r="D63" s="11">
        <v>90.14</v>
      </c>
      <c r="E63" s="10"/>
    </row>
    <row r="64" spans="1:5" ht="15.75" customHeight="1" x14ac:dyDescent="0.35">
      <c r="A64" s="8" t="s">
        <v>5295</v>
      </c>
      <c r="B64" s="8" t="s">
        <v>1509</v>
      </c>
      <c r="C64" s="8" t="s">
        <v>1510</v>
      </c>
      <c r="D64" s="9">
        <v>89.86</v>
      </c>
      <c r="E64" s="8"/>
    </row>
    <row r="65" spans="1:5" ht="15.75" customHeight="1" x14ac:dyDescent="0.35">
      <c r="A65" s="10" t="s">
        <v>5295</v>
      </c>
      <c r="B65" s="10" t="s">
        <v>1513</v>
      </c>
      <c r="C65" s="10" t="s">
        <v>1514</v>
      </c>
      <c r="D65" s="11">
        <v>90.14</v>
      </c>
      <c r="E65" s="10"/>
    </row>
    <row r="66" spans="1:5" ht="15.75" customHeight="1" x14ac:dyDescent="0.35">
      <c r="A66" s="8" t="s">
        <v>5296</v>
      </c>
      <c r="B66" s="8" t="s">
        <v>1517</v>
      </c>
      <c r="C66" s="8" t="s">
        <v>1518</v>
      </c>
      <c r="D66" s="9">
        <v>86.67</v>
      </c>
      <c r="E66" s="8"/>
    </row>
    <row r="67" spans="1:5" ht="15.75" customHeight="1" x14ac:dyDescent="0.35">
      <c r="A67" s="10" t="s">
        <v>5296</v>
      </c>
      <c r="B67" s="10" t="s">
        <v>1521</v>
      </c>
      <c r="C67" s="10" t="s">
        <v>1522</v>
      </c>
      <c r="D67" s="11">
        <v>86.67</v>
      </c>
      <c r="E67" s="10"/>
    </row>
    <row r="68" spans="1:5" ht="15.75" customHeight="1" x14ac:dyDescent="0.35">
      <c r="A68" s="8" t="s">
        <v>5296</v>
      </c>
      <c r="B68" s="8" t="s">
        <v>1525</v>
      </c>
      <c r="C68" s="8" t="s">
        <v>1526</v>
      </c>
      <c r="D68" s="9">
        <v>92.45</v>
      </c>
      <c r="E68" s="8"/>
    </row>
    <row r="69" spans="1:5" ht="15.75" customHeight="1" x14ac:dyDescent="0.35">
      <c r="A69" s="10" t="s">
        <v>5296</v>
      </c>
      <c r="B69" s="10" t="s">
        <v>1529</v>
      </c>
      <c r="C69" s="10" t="s">
        <v>1530</v>
      </c>
      <c r="D69" s="11">
        <v>175</v>
      </c>
      <c r="E69" s="10"/>
    </row>
    <row r="70" spans="1:5" ht="15.75" customHeight="1" x14ac:dyDescent="0.35">
      <c r="A70" s="8" t="s">
        <v>5297</v>
      </c>
      <c r="B70" s="8" t="s">
        <v>1533</v>
      </c>
      <c r="C70" s="8" t="s">
        <v>1534</v>
      </c>
      <c r="D70" s="9">
        <v>10.98</v>
      </c>
      <c r="E70" s="8"/>
    </row>
    <row r="71" spans="1:5" ht="15.75" customHeight="1" x14ac:dyDescent="0.35">
      <c r="A71" s="10" t="s">
        <v>5297</v>
      </c>
      <c r="B71" s="10" t="s">
        <v>1537</v>
      </c>
      <c r="C71" s="10" t="s">
        <v>1538</v>
      </c>
      <c r="D71" s="11">
        <v>9.24</v>
      </c>
      <c r="E71" s="10"/>
    </row>
    <row r="72" spans="1:5" ht="15.75" customHeight="1" x14ac:dyDescent="0.35">
      <c r="A72" s="8" t="s">
        <v>5298</v>
      </c>
      <c r="B72" s="8" t="s">
        <v>1541</v>
      </c>
      <c r="C72" s="8" t="s">
        <v>1542</v>
      </c>
      <c r="D72" s="9">
        <v>243.58</v>
      </c>
      <c r="E72" s="8"/>
    </row>
    <row r="73" spans="1:5" ht="15.75" customHeight="1" x14ac:dyDescent="0.35">
      <c r="A73" s="10" t="s">
        <v>5299</v>
      </c>
      <c r="B73" s="10" t="s">
        <v>1545</v>
      </c>
      <c r="C73" s="10" t="s">
        <v>1546</v>
      </c>
      <c r="D73" s="11">
        <v>106.7</v>
      </c>
      <c r="E73" s="10"/>
    </row>
    <row r="74" spans="1:5" ht="15.75" customHeight="1" x14ac:dyDescent="0.35">
      <c r="A74" s="8" t="s">
        <v>5299</v>
      </c>
      <c r="B74" s="8" t="s">
        <v>1549</v>
      </c>
      <c r="C74" s="8" t="s">
        <v>1550</v>
      </c>
      <c r="D74" s="9">
        <v>106.7</v>
      </c>
      <c r="E74" s="8"/>
    </row>
    <row r="75" spans="1:5" ht="15.75" customHeight="1" x14ac:dyDescent="0.35">
      <c r="A75" s="10" t="s">
        <v>5299</v>
      </c>
      <c r="B75" s="10" t="s">
        <v>1553</v>
      </c>
      <c r="C75" s="10" t="s">
        <v>1554</v>
      </c>
      <c r="D75" s="11">
        <v>71.81</v>
      </c>
      <c r="E75" s="10"/>
    </row>
    <row r="76" spans="1:5" ht="15.75" customHeight="1" x14ac:dyDescent="0.35">
      <c r="A76" s="8" t="s">
        <v>5299</v>
      </c>
      <c r="B76" s="8" t="s">
        <v>1557</v>
      </c>
      <c r="C76" s="8" t="s">
        <v>1558</v>
      </c>
      <c r="D76" s="9">
        <v>94.08</v>
      </c>
      <c r="E76" s="8"/>
    </row>
    <row r="77" spans="1:5" ht="15.75" customHeight="1" x14ac:dyDescent="0.35">
      <c r="A77" s="10" t="s">
        <v>5299</v>
      </c>
      <c r="B77" s="10" t="s">
        <v>1561</v>
      </c>
      <c r="C77" s="10" t="s">
        <v>1562</v>
      </c>
      <c r="D77" s="11">
        <v>275</v>
      </c>
      <c r="E77" s="10"/>
    </row>
    <row r="78" spans="1:5" ht="15.75" customHeight="1" x14ac:dyDescent="0.35">
      <c r="A78" s="8" t="s">
        <v>5299</v>
      </c>
      <c r="B78" s="8" t="s">
        <v>1565</v>
      </c>
      <c r="C78" s="8" t="s">
        <v>1566</v>
      </c>
      <c r="D78" s="9">
        <v>25.18</v>
      </c>
      <c r="E78" s="8"/>
    </row>
    <row r="79" spans="1:5" ht="15.75" customHeight="1" x14ac:dyDescent="0.35">
      <c r="A79" s="10" t="s">
        <v>5299</v>
      </c>
      <c r="B79" s="10" t="s">
        <v>1569</v>
      </c>
      <c r="C79" s="10" t="s">
        <v>1570</v>
      </c>
      <c r="D79" s="11">
        <v>16.95</v>
      </c>
      <c r="E79" s="10"/>
    </row>
    <row r="80" spans="1:5" ht="15.75" customHeight="1" x14ac:dyDescent="0.35">
      <c r="A80" s="8" t="s">
        <v>5299</v>
      </c>
      <c r="B80" s="8" t="s">
        <v>1573</v>
      </c>
      <c r="C80" s="8" t="s">
        <v>1574</v>
      </c>
      <c r="D80" s="9">
        <v>4.5</v>
      </c>
      <c r="E80" s="8"/>
    </row>
    <row r="81" spans="1:5" ht="15.75" customHeight="1" x14ac:dyDescent="0.35">
      <c r="A81" s="10" t="s">
        <v>5299</v>
      </c>
      <c r="B81" s="10" t="s">
        <v>1577</v>
      </c>
      <c r="C81" s="10" t="s">
        <v>1578</v>
      </c>
      <c r="D81" s="11">
        <v>91.7</v>
      </c>
      <c r="E81" s="10"/>
    </row>
    <row r="82" spans="1:5" ht="15.75" customHeight="1" x14ac:dyDescent="0.35">
      <c r="A82" s="8" t="s">
        <v>5299</v>
      </c>
      <c r="B82" s="8" t="s">
        <v>1581</v>
      </c>
      <c r="C82" s="8" t="s">
        <v>1582</v>
      </c>
      <c r="D82" s="9">
        <v>138</v>
      </c>
      <c r="E82" s="8"/>
    </row>
    <row r="83" spans="1:5" ht="15.75" customHeight="1" x14ac:dyDescent="0.35">
      <c r="A83" s="10" t="s">
        <v>5300</v>
      </c>
      <c r="B83" s="10" t="s">
        <v>1585</v>
      </c>
      <c r="C83" s="10" t="s">
        <v>1586</v>
      </c>
      <c r="D83" s="11">
        <v>42.18</v>
      </c>
      <c r="E83" s="10"/>
    </row>
    <row r="84" spans="1:5" ht="15.75" customHeight="1" x14ac:dyDescent="0.35">
      <c r="A84" s="8" t="s">
        <v>5300</v>
      </c>
      <c r="B84" s="8" t="s">
        <v>1589</v>
      </c>
      <c r="C84" s="8" t="s">
        <v>1590</v>
      </c>
      <c r="D84" s="9">
        <v>42.18</v>
      </c>
      <c r="E84" s="8"/>
    </row>
    <row r="85" spans="1:5" ht="15.75" customHeight="1" x14ac:dyDescent="0.35">
      <c r="A85" s="10" t="s">
        <v>5300</v>
      </c>
      <c r="B85" s="10" t="s">
        <v>1593</v>
      </c>
      <c r="C85" s="10" t="s">
        <v>1594</v>
      </c>
      <c r="D85" s="11">
        <v>50.38</v>
      </c>
      <c r="E85" s="10"/>
    </row>
    <row r="86" spans="1:5" ht="15.75" customHeight="1" x14ac:dyDescent="0.35">
      <c r="A86" s="8" t="s">
        <v>5300</v>
      </c>
      <c r="B86" s="8" t="s">
        <v>1597</v>
      </c>
      <c r="C86" s="8" t="s">
        <v>1598</v>
      </c>
      <c r="D86" s="9">
        <v>50.38</v>
      </c>
      <c r="E86" s="8"/>
    </row>
    <row r="87" spans="1:5" ht="15.75" customHeight="1" x14ac:dyDescent="0.35">
      <c r="A87" s="10" t="s">
        <v>5300</v>
      </c>
      <c r="B87" s="10" t="s">
        <v>1601</v>
      </c>
      <c r="C87" s="10" t="s">
        <v>1602</v>
      </c>
      <c r="D87" s="11">
        <v>10.4</v>
      </c>
      <c r="E87" s="10"/>
    </row>
    <row r="88" spans="1:5" ht="15.75" customHeight="1" x14ac:dyDescent="0.35">
      <c r="A88" s="8" t="s">
        <v>5300</v>
      </c>
      <c r="B88" s="8" t="s">
        <v>1605</v>
      </c>
      <c r="C88" s="8" t="s">
        <v>1606</v>
      </c>
      <c r="D88" s="9">
        <v>10.82</v>
      </c>
      <c r="E88" s="8"/>
    </row>
    <row r="89" spans="1:5" ht="15.75" customHeight="1" x14ac:dyDescent="0.35">
      <c r="A89" s="10" t="s">
        <v>5300</v>
      </c>
      <c r="B89" s="10" t="s">
        <v>1609</v>
      </c>
      <c r="C89" s="10" t="s">
        <v>1610</v>
      </c>
      <c r="D89" s="11">
        <v>9.5</v>
      </c>
      <c r="E89" s="10"/>
    </row>
    <row r="90" spans="1:5" ht="15.75" customHeight="1" x14ac:dyDescent="0.35">
      <c r="A90" s="8" t="s">
        <v>5300</v>
      </c>
      <c r="B90" s="8" t="s">
        <v>1613</v>
      </c>
      <c r="C90" s="8" t="s">
        <v>1614</v>
      </c>
      <c r="D90" s="9">
        <v>55.35</v>
      </c>
      <c r="E90" s="8"/>
    </row>
    <row r="91" spans="1:5" ht="15.75" customHeight="1" x14ac:dyDescent="0.35">
      <c r="A91" s="10" t="s">
        <v>5300</v>
      </c>
      <c r="B91" s="10" t="s">
        <v>1617</v>
      </c>
      <c r="C91" s="10" t="s">
        <v>1618</v>
      </c>
      <c r="D91" s="11">
        <v>26.66</v>
      </c>
      <c r="E91" s="10"/>
    </row>
    <row r="92" spans="1:5" ht="15.75" customHeight="1" x14ac:dyDescent="0.35">
      <c r="A92" s="8" t="s">
        <v>5300</v>
      </c>
      <c r="B92" s="8" t="s">
        <v>1621</v>
      </c>
      <c r="C92" s="8" t="s">
        <v>1622</v>
      </c>
      <c r="D92" s="9">
        <v>14.16</v>
      </c>
      <c r="E92" s="8"/>
    </row>
    <row r="93" spans="1:5" ht="15.75" customHeight="1" x14ac:dyDescent="0.35">
      <c r="A93" s="10" t="s">
        <v>5300</v>
      </c>
      <c r="B93" s="10" t="s">
        <v>1625</v>
      </c>
      <c r="C93" s="10" t="s">
        <v>1626</v>
      </c>
      <c r="D93" s="11">
        <v>8.9700000000000006</v>
      </c>
      <c r="E93" s="10"/>
    </row>
    <row r="94" spans="1:5" ht="15.75" customHeight="1" x14ac:dyDescent="0.35">
      <c r="A94" s="8" t="s">
        <v>5300</v>
      </c>
      <c r="B94" s="8" t="s">
        <v>1629</v>
      </c>
      <c r="C94" s="8" t="s">
        <v>1630</v>
      </c>
      <c r="D94" s="9">
        <v>58.11</v>
      </c>
      <c r="E94" s="8"/>
    </row>
    <row r="95" spans="1:5" ht="15.75" customHeight="1" x14ac:dyDescent="0.35">
      <c r="A95" s="10" t="s">
        <v>5300</v>
      </c>
      <c r="B95" s="10" t="s">
        <v>5301</v>
      </c>
      <c r="C95" s="10" t="s">
        <v>5302</v>
      </c>
      <c r="D95" s="16" t="s">
        <v>5303</v>
      </c>
      <c r="E95" s="10" t="s">
        <v>5303</v>
      </c>
    </row>
    <row r="96" spans="1:5" ht="15.75" customHeight="1" x14ac:dyDescent="0.35">
      <c r="A96" s="8" t="s">
        <v>5300</v>
      </c>
      <c r="B96" s="8" t="s">
        <v>1633</v>
      </c>
      <c r="C96" s="8" t="s">
        <v>1634</v>
      </c>
      <c r="D96" s="9">
        <v>12.72</v>
      </c>
      <c r="E96" s="8"/>
    </row>
    <row r="97" spans="1:5" ht="15.75" customHeight="1" x14ac:dyDescent="0.35">
      <c r="A97" s="10" t="s">
        <v>5300</v>
      </c>
      <c r="B97" s="10" t="s">
        <v>1637</v>
      </c>
      <c r="C97" s="10" t="s">
        <v>1638</v>
      </c>
      <c r="D97" s="11">
        <v>75</v>
      </c>
      <c r="E97" s="10"/>
    </row>
    <row r="98" spans="1:5" ht="15.75" customHeight="1" x14ac:dyDescent="0.35">
      <c r="A98" s="8" t="s">
        <v>5300</v>
      </c>
      <c r="B98" s="8" t="s">
        <v>1641</v>
      </c>
      <c r="C98" s="8" t="s">
        <v>1642</v>
      </c>
      <c r="D98" s="9">
        <v>85</v>
      </c>
      <c r="E98" s="8"/>
    </row>
    <row r="99" spans="1:5" ht="15.75" customHeight="1" x14ac:dyDescent="0.35">
      <c r="A99" s="10" t="s">
        <v>5300</v>
      </c>
      <c r="B99" s="10" t="s">
        <v>1645</v>
      </c>
      <c r="C99" s="10" t="s">
        <v>1646</v>
      </c>
      <c r="D99" s="11">
        <v>125</v>
      </c>
      <c r="E99" s="10"/>
    </row>
    <row r="100" spans="1:5" ht="15.75" customHeight="1" x14ac:dyDescent="0.35">
      <c r="A100" s="8" t="s">
        <v>5300</v>
      </c>
      <c r="B100" s="8" t="s">
        <v>1649</v>
      </c>
      <c r="C100" s="8" t="s">
        <v>1650</v>
      </c>
      <c r="D100" s="9">
        <v>85</v>
      </c>
      <c r="E100" s="8"/>
    </row>
    <row r="101" spans="1:5" ht="15.75" customHeight="1" x14ac:dyDescent="0.35">
      <c r="A101" s="10" t="s">
        <v>5300</v>
      </c>
      <c r="B101" s="10" t="s">
        <v>1653</v>
      </c>
      <c r="C101" s="10" t="s">
        <v>1654</v>
      </c>
      <c r="D101" s="11">
        <v>7.02</v>
      </c>
      <c r="E101" s="10"/>
    </row>
    <row r="102" spans="1:5" ht="15.75" customHeight="1" x14ac:dyDescent="0.35">
      <c r="A102" s="8" t="s">
        <v>5300</v>
      </c>
      <c r="B102" s="8" t="s">
        <v>1657</v>
      </c>
      <c r="C102" s="8" t="s">
        <v>1658</v>
      </c>
      <c r="D102" s="9">
        <v>71.510000000000005</v>
      </c>
      <c r="E102" s="8"/>
    </row>
    <row r="103" spans="1:5" ht="15.75" customHeight="1" x14ac:dyDescent="0.35">
      <c r="A103" s="10" t="s">
        <v>5300</v>
      </c>
      <c r="B103" s="10" t="s">
        <v>1661</v>
      </c>
      <c r="C103" s="10" t="s">
        <v>1662</v>
      </c>
      <c r="D103" s="11">
        <v>294</v>
      </c>
      <c r="E103" s="10"/>
    </row>
    <row r="104" spans="1:5" ht="15.75" customHeight="1" x14ac:dyDescent="0.35">
      <c r="A104" s="8" t="s">
        <v>5300</v>
      </c>
      <c r="B104" s="8" t="s">
        <v>1665</v>
      </c>
      <c r="C104" s="8" t="s">
        <v>1666</v>
      </c>
      <c r="D104" s="9">
        <v>346.73</v>
      </c>
      <c r="E104" s="8"/>
    </row>
    <row r="105" spans="1:5" ht="15.75" customHeight="1" x14ac:dyDescent="0.35">
      <c r="A105" s="10" t="s">
        <v>5300</v>
      </c>
      <c r="B105" s="10" t="s">
        <v>1669</v>
      </c>
      <c r="C105" s="10" t="s">
        <v>1670</v>
      </c>
      <c r="D105" s="11">
        <v>17.36</v>
      </c>
      <c r="E105" s="10"/>
    </row>
    <row r="106" spans="1:5" ht="15.75" customHeight="1" x14ac:dyDescent="0.35">
      <c r="A106" s="8" t="s">
        <v>5300</v>
      </c>
      <c r="B106" s="8" t="s">
        <v>1673</v>
      </c>
      <c r="C106" s="8" t="s">
        <v>1674</v>
      </c>
      <c r="D106" s="9">
        <v>79.150000000000006</v>
      </c>
      <c r="E106" s="8"/>
    </row>
    <row r="107" spans="1:5" ht="15.75" customHeight="1" x14ac:dyDescent="0.35">
      <c r="A107" s="10" t="s">
        <v>5300</v>
      </c>
      <c r="B107" s="10" t="s">
        <v>1677</v>
      </c>
      <c r="C107" s="10" t="s">
        <v>1678</v>
      </c>
      <c r="D107" s="11">
        <v>463.06</v>
      </c>
      <c r="E107" s="1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7"/>
  <sheetViews>
    <sheetView zoomScaleNormal="100" workbookViewId="0"/>
  </sheetViews>
  <sheetFormatPr defaultColWidth="8.6328125" defaultRowHeight="14.5" x14ac:dyDescent="0.35"/>
  <cols>
    <col min="1" max="1" width="30" style="6" customWidth="1"/>
    <col min="2" max="2" width="18" style="6" customWidth="1"/>
    <col min="3" max="3" width="58" style="6" customWidth="1"/>
    <col min="4" max="4" width="18" style="6" customWidth="1"/>
    <col min="5" max="5" width="42" style="6" customWidth="1"/>
  </cols>
  <sheetData>
    <row r="1" spans="1:5" ht="30" customHeight="1" x14ac:dyDescent="0.35">
      <c r="A1" s="70" t="s">
        <v>5304</v>
      </c>
      <c r="B1" s="70"/>
      <c r="C1" s="70"/>
      <c r="D1" s="70"/>
      <c r="E1" s="70"/>
    </row>
    <row r="2" spans="1:5" ht="15.75" customHeight="1" x14ac:dyDescent="0.35">
      <c r="A2" s="66" t="s">
        <v>5305</v>
      </c>
      <c r="B2" s="66"/>
      <c r="C2" s="66"/>
      <c r="D2" s="66"/>
      <c r="E2" s="66"/>
    </row>
    <row r="3" spans="1:5" ht="27.75" customHeight="1" x14ac:dyDescent="0.35">
      <c r="A3" s="17" t="s">
        <v>5178</v>
      </c>
      <c r="B3" s="17" t="s">
        <v>5306</v>
      </c>
      <c r="C3" s="17" t="s">
        <v>15</v>
      </c>
      <c r="D3" s="17" t="s">
        <v>5307</v>
      </c>
      <c r="E3" s="17" t="s">
        <v>5181</v>
      </c>
    </row>
    <row r="4" spans="1:5" ht="15.75" customHeight="1" x14ac:dyDescent="0.35">
      <c r="A4" s="8" t="s">
        <v>5308</v>
      </c>
      <c r="B4" s="8" t="s">
        <v>1682</v>
      </c>
      <c r="C4" s="8" t="s">
        <v>1683</v>
      </c>
      <c r="D4" s="9">
        <v>672</v>
      </c>
      <c r="E4" s="8"/>
    </row>
    <row r="5" spans="1:5" ht="15.75" customHeight="1" x14ac:dyDescent="0.35">
      <c r="A5" s="10" t="s">
        <v>5308</v>
      </c>
      <c r="B5" s="10" t="s">
        <v>1686</v>
      </c>
      <c r="C5" s="10" t="s">
        <v>1687</v>
      </c>
      <c r="D5" s="11">
        <v>669</v>
      </c>
      <c r="E5" s="10"/>
    </row>
    <row r="6" spans="1:5" ht="15.75" customHeight="1" x14ac:dyDescent="0.35">
      <c r="A6" s="8" t="s">
        <v>5309</v>
      </c>
      <c r="B6" s="8" t="s">
        <v>1690</v>
      </c>
      <c r="C6" s="8" t="s">
        <v>1691</v>
      </c>
      <c r="D6" s="9">
        <v>873</v>
      </c>
      <c r="E6" s="8"/>
    </row>
    <row r="7" spans="1:5" ht="15.75" customHeight="1" x14ac:dyDescent="0.35">
      <c r="A7" s="10" t="s">
        <v>5309</v>
      </c>
      <c r="B7" s="10" t="s">
        <v>1694</v>
      </c>
      <c r="C7" s="10" t="s">
        <v>1695</v>
      </c>
      <c r="D7" s="11">
        <v>1014</v>
      </c>
      <c r="E7" s="10"/>
    </row>
    <row r="8" spans="1:5" ht="15.75" customHeight="1" x14ac:dyDescent="0.35">
      <c r="A8" s="8" t="s">
        <v>5309</v>
      </c>
      <c r="B8" s="8" t="s">
        <v>1698</v>
      </c>
      <c r="C8" s="8" t="s">
        <v>1699</v>
      </c>
      <c r="D8" s="9">
        <v>960</v>
      </c>
      <c r="E8" s="8"/>
    </row>
    <row r="9" spans="1:5" ht="15.75" customHeight="1" x14ac:dyDescent="0.35">
      <c r="A9" s="10" t="s">
        <v>5309</v>
      </c>
      <c r="B9" s="10" t="s">
        <v>1702</v>
      </c>
      <c r="C9" s="10" t="s">
        <v>1703</v>
      </c>
      <c r="D9" s="11">
        <v>1129</v>
      </c>
      <c r="E9" s="10"/>
    </row>
    <row r="10" spans="1:5" ht="15.75" customHeight="1" x14ac:dyDescent="0.35">
      <c r="A10" s="8" t="s">
        <v>5310</v>
      </c>
      <c r="B10" s="8" t="s">
        <v>1706</v>
      </c>
      <c r="C10" s="8" t="s">
        <v>1707</v>
      </c>
      <c r="D10" s="9">
        <v>2001</v>
      </c>
      <c r="E10" s="8"/>
    </row>
    <row r="11" spans="1:5" ht="15.75" customHeight="1" x14ac:dyDescent="0.35">
      <c r="A11" s="10" t="s">
        <v>5310</v>
      </c>
      <c r="B11" s="10" t="s">
        <v>1710</v>
      </c>
      <c r="C11" s="10" t="s">
        <v>1711</v>
      </c>
      <c r="D11" s="11">
        <v>2078</v>
      </c>
      <c r="E11" s="10"/>
    </row>
    <row r="12" spans="1:5" ht="15.75" customHeight="1" x14ac:dyDescent="0.35">
      <c r="A12" s="8" t="s">
        <v>5311</v>
      </c>
      <c r="B12" s="8" t="s">
        <v>1714</v>
      </c>
      <c r="C12" s="8" t="s">
        <v>1715</v>
      </c>
      <c r="D12" s="9">
        <v>2472</v>
      </c>
      <c r="E12" s="8"/>
    </row>
    <row r="13" spans="1:5" ht="15.75" customHeight="1" x14ac:dyDescent="0.35">
      <c r="A13" s="10" t="s">
        <v>5311</v>
      </c>
      <c r="B13" s="10" t="s">
        <v>1718</v>
      </c>
      <c r="C13" s="10" t="s">
        <v>1719</v>
      </c>
      <c r="D13" s="11">
        <v>2865</v>
      </c>
      <c r="E13" s="10"/>
    </row>
    <row r="14" spans="1:5" ht="15.75" customHeight="1" x14ac:dyDescent="0.35">
      <c r="A14" s="8" t="s">
        <v>5311</v>
      </c>
      <c r="B14" s="8" t="s">
        <v>1722</v>
      </c>
      <c r="C14" s="8" t="s">
        <v>1723</v>
      </c>
      <c r="D14" s="9">
        <v>3256</v>
      </c>
      <c r="E14" s="8"/>
    </row>
    <row r="15" spans="1:5" ht="15.75" customHeight="1" x14ac:dyDescent="0.35">
      <c r="A15" s="10" t="s">
        <v>5311</v>
      </c>
      <c r="B15" s="10" t="s">
        <v>1726</v>
      </c>
      <c r="C15" s="10" t="s">
        <v>1727</v>
      </c>
      <c r="D15" s="11">
        <v>3658</v>
      </c>
      <c r="E15" s="10"/>
    </row>
    <row r="16" spans="1:5" ht="15.75" customHeight="1" x14ac:dyDescent="0.35">
      <c r="A16" s="8" t="s">
        <v>5311</v>
      </c>
      <c r="B16" s="8" t="s">
        <v>1730</v>
      </c>
      <c r="C16" s="8" t="s">
        <v>1731</v>
      </c>
      <c r="D16" s="9">
        <v>3722</v>
      </c>
      <c r="E16" s="8"/>
    </row>
    <row r="17" spans="1:5" ht="15.75" customHeight="1" x14ac:dyDescent="0.35">
      <c r="A17" s="10" t="s">
        <v>5311</v>
      </c>
      <c r="B17" s="10" t="s">
        <v>1734</v>
      </c>
      <c r="C17" s="10" t="s">
        <v>1735</v>
      </c>
      <c r="D17" s="11">
        <v>416</v>
      </c>
      <c r="E17" s="10"/>
    </row>
    <row r="18" spans="1:5" ht="15.75" customHeight="1" x14ac:dyDescent="0.35">
      <c r="A18" s="8" t="s">
        <v>5312</v>
      </c>
      <c r="B18" s="8" t="s">
        <v>1738</v>
      </c>
      <c r="C18" s="8" t="s">
        <v>1739</v>
      </c>
      <c r="D18" s="9">
        <v>3113</v>
      </c>
      <c r="E18" s="8"/>
    </row>
    <row r="19" spans="1:5" ht="15.75" customHeight="1" x14ac:dyDescent="0.35">
      <c r="A19" s="10" t="s">
        <v>5313</v>
      </c>
      <c r="B19" s="10" t="s">
        <v>1742</v>
      </c>
      <c r="C19" s="10" t="s">
        <v>1743</v>
      </c>
      <c r="D19" s="11">
        <v>2894</v>
      </c>
      <c r="E19" s="10"/>
    </row>
    <row r="20" spans="1:5" ht="15.75" customHeight="1" x14ac:dyDescent="0.35">
      <c r="A20" s="8" t="s">
        <v>5313</v>
      </c>
      <c r="B20" s="8" t="s">
        <v>1746</v>
      </c>
      <c r="C20" s="8" t="s">
        <v>1747</v>
      </c>
      <c r="D20" s="9">
        <v>3632</v>
      </c>
      <c r="E20" s="8"/>
    </row>
    <row r="21" spans="1:5" ht="15.75" customHeight="1" x14ac:dyDescent="0.35">
      <c r="A21" s="10" t="s">
        <v>5313</v>
      </c>
      <c r="B21" s="10" t="s">
        <v>1750</v>
      </c>
      <c r="C21" s="10" t="s">
        <v>1751</v>
      </c>
      <c r="D21" s="11">
        <v>3798</v>
      </c>
      <c r="E21" s="10"/>
    </row>
    <row r="22" spans="1:5" ht="15.75" customHeight="1" x14ac:dyDescent="0.35">
      <c r="A22" s="8" t="s">
        <v>5313</v>
      </c>
      <c r="B22" s="8" t="s">
        <v>1754</v>
      </c>
      <c r="C22" s="8" t="s">
        <v>1755</v>
      </c>
      <c r="D22" s="9">
        <v>4325</v>
      </c>
      <c r="E22" s="8"/>
    </row>
    <row r="23" spans="1:5" ht="15.75" customHeight="1" x14ac:dyDescent="0.35">
      <c r="A23" s="10" t="s">
        <v>5313</v>
      </c>
      <c r="B23" s="10" t="s">
        <v>1758</v>
      </c>
      <c r="C23" s="10" t="s">
        <v>1759</v>
      </c>
      <c r="D23" s="11">
        <v>5114</v>
      </c>
      <c r="E23" s="10"/>
    </row>
    <row r="24" spans="1:5" ht="15.75" customHeight="1" x14ac:dyDescent="0.35">
      <c r="A24" s="8" t="s">
        <v>5313</v>
      </c>
      <c r="B24" s="8" t="s">
        <v>1762</v>
      </c>
      <c r="C24" s="8" t="s">
        <v>1763</v>
      </c>
      <c r="D24" s="9">
        <v>5852</v>
      </c>
      <c r="E24" s="8"/>
    </row>
    <row r="25" spans="1:5" ht="15.75" customHeight="1" x14ac:dyDescent="0.35">
      <c r="A25" s="10" t="s">
        <v>5313</v>
      </c>
      <c r="B25" s="10" t="s">
        <v>1766</v>
      </c>
      <c r="C25" s="10" t="s">
        <v>1767</v>
      </c>
      <c r="D25" s="11">
        <v>6315</v>
      </c>
      <c r="E25" s="10"/>
    </row>
    <row r="26" spans="1:5" ht="15.75" customHeight="1" x14ac:dyDescent="0.35">
      <c r="A26" s="8" t="s">
        <v>5313</v>
      </c>
      <c r="B26" s="8" t="s">
        <v>5314</v>
      </c>
      <c r="C26" s="8" t="s">
        <v>5315</v>
      </c>
      <c r="D26" s="18" t="s">
        <v>5303</v>
      </c>
      <c r="E26" s="8" t="s">
        <v>5316</v>
      </c>
    </row>
    <row r="27" spans="1:5" ht="15.75" customHeight="1" x14ac:dyDescent="0.35">
      <c r="A27" s="10" t="s">
        <v>5313</v>
      </c>
      <c r="B27" s="10" t="s">
        <v>5317</v>
      </c>
      <c r="C27" s="10" t="s">
        <v>5318</v>
      </c>
      <c r="D27" s="16" t="s">
        <v>5303</v>
      </c>
      <c r="E27" s="10" t="s">
        <v>5316</v>
      </c>
    </row>
    <row r="28" spans="1:5" ht="15.75" customHeight="1" x14ac:dyDescent="0.35">
      <c r="A28" s="8" t="s">
        <v>5313</v>
      </c>
      <c r="B28" s="8" t="s">
        <v>5319</v>
      </c>
      <c r="C28" s="8" t="s">
        <v>5320</v>
      </c>
      <c r="D28" s="18" t="s">
        <v>5303</v>
      </c>
      <c r="E28" s="8" t="s">
        <v>5316</v>
      </c>
    </row>
    <row r="29" spans="1:5" ht="15.75" customHeight="1" x14ac:dyDescent="0.35">
      <c r="A29" s="10" t="s">
        <v>5321</v>
      </c>
      <c r="B29" s="10" t="s">
        <v>1770</v>
      </c>
      <c r="C29" s="10" t="s">
        <v>1771</v>
      </c>
      <c r="D29" s="11">
        <v>2495</v>
      </c>
      <c r="E29" s="10"/>
    </row>
    <row r="30" spans="1:5" ht="15.75" customHeight="1" x14ac:dyDescent="0.35">
      <c r="A30" s="8" t="s">
        <v>5321</v>
      </c>
      <c r="B30" s="8" t="s">
        <v>1774</v>
      </c>
      <c r="C30" s="8" t="s">
        <v>1775</v>
      </c>
      <c r="D30" s="9">
        <v>3352</v>
      </c>
      <c r="E30" s="8"/>
    </row>
    <row r="31" spans="1:5" ht="15.75" customHeight="1" x14ac:dyDescent="0.35">
      <c r="A31" s="10" t="s">
        <v>5321</v>
      </c>
      <c r="B31" s="10" t="s">
        <v>1778</v>
      </c>
      <c r="C31" s="10" t="s">
        <v>1779</v>
      </c>
      <c r="D31" s="11">
        <v>3826</v>
      </c>
      <c r="E31" s="10"/>
    </row>
    <row r="32" spans="1:5" ht="15.75" customHeight="1" x14ac:dyDescent="0.35">
      <c r="A32" s="8" t="s">
        <v>5321</v>
      </c>
      <c r="B32" s="8" t="s">
        <v>1782</v>
      </c>
      <c r="C32" s="8" t="s">
        <v>1783</v>
      </c>
      <c r="D32" s="9">
        <v>3148</v>
      </c>
      <c r="E32" s="8"/>
    </row>
    <row r="33" spans="1:5" ht="15.75" customHeight="1" x14ac:dyDescent="0.35">
      <c r="A33" s="10" t="s">
        <v>5321</v>
      </c>
      <c r="B33" s="10" t="s">
        <v>1786</v>
      </c>
      <c r="C33" s="10" t="s">
        <v>1787</v>
      </c>
      <c r="D33" s="11">
        <v>4535</v>
      </c>
      <c r="E33" s="10"/>
    </row>
    <row r="34" spans="1:5" ht="15.75" customHeight="1" x14ac:dyDescent="0.35">
      <c r="A34" s="8" t="s">
        <v>5322</v>
      </c>
      <c r="B34" s="8" t="s">
        <v>5323</v>
      </c>
      <c r="C34" s="8" t="s">
        <v>5324</v>
      </c>
      <c r="D34" s="18" t="s">
        <v>5303</v>
      </c>
      <c r="E34" s="8"/>
    </row>
    <row r="35" spans="1:5" ht="15.75" customHeight="1" x14ac:dyDescent="0.35">
      <c r="A35" s="10" t="s">
        <v>5322</v>
      </c>
      <c r="B35" s="10" t="s">
        <v>5325</v>
      </c>
      <c r="C35" s="10" t="s">
        <v>5326</v>
      </c>
      <c r="D35" s="16" t="s">
        <v>5303</v>
      </c>
      <c r="E35" s="10"/>
    </row>
    <row r="36" spans="1:5" ht="15.75" customHeight="1" x14ac:dyDescent="0.35">
      <c r="A36" s="8" t="s">
        <v>5322</v>
      </c>
      <c r="B36" s="8" t="s">
        <v>5327</v>
      </c>
      <c r="C36" s="8" t="s">
        <v>5328</v>
      </c>
      <c r="D36" s="18" t="s">
        <v>5303</v>
      </c>
      <c r="E36" s="8"/>
    </row>
    <row r="37" spans="1:5" ht="15.75" customHeight="1" x14ac:dyDescent="0.35">
      <c r="A37" s="10" t="s">
        <v>5322</v>
      </c>
      <c r="B37" s="10" t="s">
        <v>5329</v>
      </c>
      <c r="C37" s="10" t="s">
        <v>5330</v>
      </c>
      <c r="D37" s="16" t="s">
        <v>5303</v>
      </c>
      <c r="E37" s="10"/>
    </row>
    <row r="38" spans="1:5" ht="15.75" customHeight="1" x14ac:dyDescent="0.35">
      <c r="A38" s="8" t="s">
        <v>5234</v>
      </c>
      <c r="B38" s="8" t="s">
        <v>1790</v>
      </c>
      <c r="C38" s="8" t="s">
        <v>1791</v>
      </c>
      <c r="D38" s="9">
        <v>267</v>
      </c>
      <c r="E38" s="8"/>
    </row>
    <row r="39" spans="1:5" ht="15.75" customHeight="1" x14ac:dyDescent="0.35">
      <c r="A39" s="10" t="s">
        <v>5234</v>
      </c>
      <c r="B39" s="10" t="s">
        <v>1794</v>
      </c>
      <c r="C39" s="10" t="s">
        <v>1795</v>
      </c>
      <c r="D39" s="11">
        <v>341</v>
      </c>
      <c r="E39" s="10"/>
    </row>
    <row r="40" spans="1:5" ht="15.75" customHeight="1" x14ac:dyDescent="0.35">
      <c r="A40" s="8" t="s">
        <v>5234</v>
      </c>
      <c r="B40" s="8" t="s">
        <v>1798</v>
      </c>
      <c r="C40" s="8" t="s">
        <v>1799</v>
      </c>
      <c r="D40" s="9">
        <v>273</v>
      </c>
      <c r="E40" s="8"/>
    </row>
    <row r="41" spans="1:5" ht="15.75" customHeight="1" x14ac:dyDescent="0.35">
      <c r="A41" s="10" t="s">
        <v>5234</v>
      </c>
      <c r="B41" s="10" t="s">
        <v>1802</v>
      </c>
      <c r="C41" s="10" t="s">
        <v>1803</v>
      </c>
      <c r="D41" s="11">
        <v>341</v>
      </c>
      <c r="E41" s="10"/>
    </row>
    <row r="42" spans="1:5" ht="15.75" customHeight="1" x14ac:dyDescent="0.35">
      <c r="A42" s="8" t="s">
        <v>5234</v>
      </c>
      <c r="B42" s="8" t="s">
        <v>1806</v>
      </c>
      <c r="C42" s="8" t="s">
        <v>1807</v>
      </c>
      <c r="D42" s="9">
        <v>416</v>
      </c>
      <c r="E42" s="8"/>
    </row>
    <row r="43" spans="1:5" ht="15.75" customHeight="1" x14ac:dyDescent="0.35">
      <c r="A43" s="10" t="s">
        <v>5331</v>
      </c>
      <c r="B43" s="10" t="s">
        <v>5332</v>
      </c>
      <c r="C43" s="10" t="s">
        <v>5333</v>
      </c>
      <c r="D43" s="16" t="s">
        <v>5303</v>
      </c>
      <c r="E43" s="10" t="s">
        <v>5316</v>
      </c>
    </row>
    <row r="44" spans="1:5" ht="15.75" customHeight="1" x14ac:dyDescent="0.35">
      <c r="A44" s="8" t="s">
        <v>5331</v>
      </c>
      <c r="B44" s="8" t="s">
        <v>5334</v>
      </c>
      <c r="C44" s="8" t="s">
        <v>5335</v>
      </c>
      <c r="D44" s="18" t="s">
        <v>5303</v>
      </c>
      <c r="E44" s="8" t="s">
        <v>5316</v>
      </c>
    </row>
    <row r="45" spans="1:5" ht="15.75" customHeight="1" x14ac:dyDescent="0.35">
      <c r="A45" s="10" t="s">
        <v>5331</v>
      </c>
      <c r="B45" s="10" t="s">
        <v>5336</v>
      </c>
      <c r="C45" s="10" t="s">
        <v>5337</v>
      </c>
      <c r="D45" s="16" t="s">
        <v>5303</v>
      </c>
      <c r="E45" s="10" t="s">
        <v>5316</v>
      </c>
    </row>
    <row r="46" spans="1:5" ht="15.75" customHeight="1" x14ac:dyDescent="0.35">
      <c r="A46" s="8" t="s">
        <v>5338</v>
      </c>
      <c r="B46" s="8" t="s">
        <v>1810</v>
      </c>
      <c r="C46" s="8" t="s">
        <v>1811</v>
      </c>
      <c r="D46" s="9">
        <v>1739</v>
      </c>
      <c r="E46" s="8"/>
    </row>
    <row r="47" spans="1:5" ht="15.75" customHeight="1" x14ac:dyDescent="0.35">
      <c r="A47" s="10" t="s">
        <v>5338</v>
      </c>
      <c r="B47" s="10" t="s">
        <v>1814</v>
      </c>
      <c r="C47" s="10" t="s">
        <v>1815</v>
      </c>
      <c r="D47" s="11">
        <v>667</v>
      </c>
      <c r="E47" s="10"/>
    </row>
    <row r="48" spans="1:5" ht="15.75" customHeight="1" x14ac:dyDescent="0.35">
      <c r="A48" s="8" t="s">
        <v>5338</v>
      </c>
      <c r="B48" s="8" t="s">
        <v>1818</v>
      </c>
      <c r="C48" s="8" t="s">
        <v>1819</v>
      </c>
      <c r="D48" s="9">
        <v>637</v>
      </c>
      <c r="E48" s="8"/>
    </row>
    <row r="49" spans="1:5" ht="15.75" customHeight="1" x14ac:dyDescent="0.35">
      <c r="A49" s="10" t="s">
        <v>5338</v>
      </c>
      <c r="B49" s="10" t="s">
        <v>1822</v>
      </c>
      <c r="C49" s="10" t="s">
        <v>1823</v>
      </c>
      <c r="D49" s="11">
        <v>431</v>
      </c>
      <c r="E49" s="10"/>
    </row>
    <row r="50" spans="1:5" ht="15.75" customHeight="1" x14ac:dyDescent="0.35">
      <c r="A50" s="8" t="s">
        <v>5338</v>
      </c>
      <c r="B50" s="8" t="s">
        <v>1826</v>
      </c>
      <c r="C50" s="8" t="s">
        <v>1827</v>
      </c>
      <c r="D50" s="9">
        <v>210</v>
      </c>
      <c r="E50" s="8"/>
    </row>
    <row r="51" spans="1:5" ht="15.75" customHeight="1" x14ac:dyDescent="0.35">
      <c r="A51" s="10" t="s">
        <v>5339</v>
      </c>
      <c r="B51" s="10" t="s">
        <v>1830</v>
      </c>
      <c r="C51" s="10" t="s">
        <v>1831</v>
      </c>
      <c r="D51" s="11">
        <v>959</v>
      </c>
      <c r="E51" s="10"/>
    </row>
    <row r="52" spans="1:5" ht="15.75" customHeight="1" x14ac:dyDescent="0.35">
      <c r="A52" s="8" t="s">
        <v>5339</v>
      </c>
      <c r="B52" s="8" t="s">
        <v>1834</v>
      </c>
      <c r="C52" s="8" t="s">
        <v>1835</v>
      </c>
      <c r="D52" s="9">
        <v>489</v>
      </c>
      <c r="E52" s="8"/>
    </row>
    <row r="53" spans="1:5" ht="15.75" customHeight="1" x14ac:dyDescent="0.35">
      <c r="A53" s="10" t="s">
        <v>5339</v>
      </c>
      <c r="B53" s="10" t="s">
        <v>1838</v>
      </c>
      <c r="C53" s="10" t="s">
        <v>1839</v>
      </c>
      <c r="D53" s="11">
        <v>449</v>
      </c>
      <c r="E53" s="10"/>
    </row>
    <row r="54" spans="1:5" ht="15.75" customHeight="1" x14ac:dyDescent="0.35">
      <c r="A54" s="8" t="s">
        <v>5339</v>
      </c>
      <c r="B54" s="8" t="s">
        <v>1842</v>
      </c>
      <c r="C54" s="8" t="s">
        <v>1843</v>
      </c>
      <c r="D54" s="9">
        <v>4010</v>
      </c>
      <c r="E54" s="8"/>
    </row>
    <row r="55" spans="1:5" ht="15.75" customHeight="1" x14ac:dyDescent="0.35">
      <c r="A55" s="10" t="s">
        <v>5339</v>
      </c>
      <c r="B55" s="10" t="s">
        <v>1846</v>
      </c>
      <c r="C55" s="10" t="s">
        <v>1847</v>
      </c>
      <c r="D55" s="11">
        <v>1593</v>
      </c>
      <c r="E55" s="10"/>
    </row>
    <row r="56" spans="1:5" ht="15.75" customHeight="1" x14ac:dyDescent="0.35">
      <c r="A56" s="8" t="s">
        <v>5339</v>
      </c>
      <c r="B56" s="8" t="s">
        <v>1850</v>
      </c>
      <c r="C56" s="8" t="s">
        <v>1851</v>
      </c>
      <c r="D56" s="9">
        <v>1904</v>
      </c>
      <c r="E56" s="8"/>
    </row>
    <row r="57" spans="1:5" ht="15.75" customHeight="1" x14ac:dyDescent="0.35">
      <c r="A57" s="10" t="s">
        <v>5339</v>
      </c>
      <c r="B57" s="10" t="s">
        <v>1854</v>
      </c>
      <c r="C57" s="10" t="s">
        <v>1855</v>
      </c>
      <c r="D57" s="11">
        <v>2628</v>
      </c>
      <c r="E57" s="10"/>
    </row>
    <row r="58" spans="1:5" ht="15.75" customHeight="1" x14ac:dyDescent="0.35">
      <c r="A58" s="8" t="s">
        <v>5339</v>
      </c>
      <c r="B58" s="8" t="s">
        <v>1858</v>
      </c>
      <c r="C58" s="8" t="s">
        <v>1859</v>
      </c>
      <c r="D58" s="9">
        <v>3318</v>
      </c>
      <c r="E58" s="8"/>
    </row>
    <row r="59" spans="1:5" ht="15.75" customHeight="1" x14ac:dyDescent="0.35">
      <c r="A59" s="10" t="s">
        <v>5340</v>
      </c>
      <c r="B59" s="10" t="s">
        <v>1862</v>
      </c>
      <c r="C59" s="10" t="s">
        <v>1863</v>
      </c>
      <c r="D59" s="11">
        <v>104</v>
      </c>
      <c r="E59" s="10"/>
    </row>
    <row r="60" spans="1:5" ht="15.75" customHeight="1" x14ac:dyDescent="0.35">
      <c r="A60" s="8" t="s">
        <v>5340</v>
      </c>
      <c r="B60" s="8" t="s">
        <v>1866</v>
      </c>
      <c r="C60" s="8" t="s">
        <v>1867</v>
      </c>
      <c r="D60" s="9">
        <v>48</v>
      </c>
      <c r="E60" s="8"/>
    </row>
    <row r="61" spans="1:5" ht="15.75" customHeight="1" x14ac:dyDescent="0.35">
      <c r="A61" s="10" t="s">
        <v>5340</v>
      </c>
      <c r="B61" s="10" t="s">
        <v>1870</v>
      </c>
      <c r="C61" s="10" t="s">
        <v>1871</v>
      </c>
      <c r="D61" s="11">
        <v>48</v>
      </c>
      <c r="E61" s="10"/>
    </row>
    <row r="62" spans="1:5" ht="15.75" customHeight="1" x14ac:dyDescent="0.35">
      <c r="A62" s="8" t="s">
        <v>5340</v>
      </c>
      <c r="B62" s="8" t="s">
        <v>1874</v>
      </c>
      <c r="C62" s="8" t="s">
        <v>1875</v>
      </c>
      <c r="D62" s="9">
        <v>48</v>
      </c>
      <c r="E62" s="8"/>
    </row>
    <row r="63" spans="1:5" ht="15.75" customHeight="1" x14ac:dyDescent="0.35">
      <c r="A63" s="10" t="s">
        <v>5340</v>
      </c>
      <c r="B63" s="10" t="s">
        <v>1878</v>
      </c>
      <c r="C63" s="10" t="s">
        <v>1879</v>
      </c>
      <c r="D63" s="11">
        <v>48</v>
      </c>
      <c r="E63" s="10"/>
    </row>
    <row r="64" spans="1:5" ht="15.75" customHeight="1" x14ac:dyDescent="0.35">
      <c r="A64" s="8" t="s">
        <v>5340</v>
      </c>
      <c r="B64" s="8" t="s">
        <v>1882</v>
      </c>
      <c r="C64" s="8" t="s">
        <v>1883</v>
      </c>
      <c r="D64" s="9">
        <v>18</v>
      </c>
      <c r="E64" s="8"/>
    </row>
    <row r="65" spans="1:5" ht="15.75" customHeight="1" x14ac:dyDescent="0.35">
      <c r="A65" s="10" t="s">
        <v>5341</v>
      </c>
      <c r="B65" s="10" t="s">
        <v>1886</v>
      </c>
      <c r="C65" s="10" t="s">
        <v>1887</v>
      </c>
      <c r="D65" s="11">
        <v>207</v>
      </c>
      <c r="E65" s="10"/>
    </row>
    <row r="66" spans="1:5" ht="15.75" customHeight="1" x14ac:dyDescent="0.35">
      <c r="A66" s="8" t="s">
        <v>5341</v>
      </c>
      <c r="B66" s="8" t="s">
        <v>1890</v>
      </c>
      <c r="C66" s="8" t="s">
        <v>1891</v>
      </c>
      <c r="D66" s="9">
        <v>400</v>
      </c>
      <c r="E66" s="8"/>
    </row>
    <row r="67" spans="1:5" ht="15.75" customHeight="1" x14ac:dyDescent="0.35">
      <c r="A67" s="10" t="s">
        <v>5342</v>
      </c>
      <c r="B67" s="10" t="s">
        <v>1894</v>
      </c>
      <c r="C67" s="10" t="s">
        <v>1895</v>
      </c>
      <c r="D67" s="11">
        <v>44</v>
      </c>
      <c r="E67" s="10"/>
    </row>
    <row r="68" spans="1:5" ht="15.75" customHeight="1" x14ac:dyDescent="0.35">
      <c r="A68" s="8" t="s">
        <v>5342</v>
      </c>
      <c r="B68" s="8" t="s">
        <v>1898</v>
      </c>
      <c r="C68" s="8" t="s">
        <v>1899</v>
      </c>
      <c r="D68" s="9">
        <v>56</v>
      </c>
      <c r="E68" s="8"/>
    </row>
    <row r="69" spans="1:5" ht="15.75" customHeight="1" x14ac:dyDescent="0.35">
      <c r="A69" s="10" t="s">
        <v>5342</v>
      </c>
      <c r="B69" s="10" t="s">
        <v>1902</v>
      </c>
      <c r="C69" s="10" t="s">
        <v>1903</v>
      </c>
      <c r="D69" s="11">
        <v>56</v>
      </c>
      <c r="E69" s="10"/>
    </row>
    <row r="70" spans="1:5" ht="15.75" customHeight="1" x14ac:dyDescent="0.35">
      <c r="A70" s="8" t="s">
        <v>5342</v>
      </c>
      <c r="B70" s="8" t="s">
        <v>1906</v>
      </c>
      <c r="C70" s="8" t="s">
        <v>1907</v>
      </c>
      <c r="D70" s="9">
        <v>56</v>
      </c>
      <c r="E70" s="8"/>
    </row>
    <row r="71" spans="1:5" ht="15.75" customHeight="1" x14ac:dyDescent="0.35">
      <c r="A71" s="10" t="s">
        <v>5342</v>
      </c>
      <c r="B71" s="10" t="s">
        <v>1910</v>
      </c>
      <c r="C71" s="10" t="s">
        <v>1911</v>
      </c>
      <c r="D71" s="11">
        <v>56</v>
      </c>
      <c r="E71" s="10"/>
    </row>
    <row r="72" spans="1:5" ht="15.75" customHeight="1" x14ac:dyDescent="0.35">
      <c r="A72" s="8" t="s">
        <v>5342</v>
      </c>
      <c r="B72" s="8" t="s">
        <v>1914</v>
      </c>
      <c r="C72" s="8" t="s">
        <v>1915</v>
      </c>
      <c r="D72" s="9">
        <v>64</v>
      </c>
      <c r="E72" s="8"/>
    </row>
    <row r="73" spans="1:5" ht="15.75" customHeight="1" x14ac:dyDescent="0.35">
      <c r="A73" s="10" t="s">
        <v>5342</v>
      </c>
      <c r="B73" s="10" t="s">
        <v>1918</v>
      </c>
      <c r="C73" s="10" t="s">
        <v>1919</v>
      </c>
      <c r="D73" s="11">
        <v>56</v>
      </c>
      <c r="E73" s="10"/>
    </row>
    <row r="74" spans="1:5" ht="15.75" customHeight="1" x14ac:dyDescent="0.35">
      <c r="A74" s="8" t="s">
        <v>5342</v>
      </c>
      <c r="B74" s="8" t="s">
        <v>1922</v>
      </c>
      <c r="C74" s="8" t="s">
        <v>1923</v>
      </c>
      <c r="D74" s="9">
        <v>44</v>
      </c>
      <c r="E74" s="8"/>
    </row>
    <row r="75" spans="1:5" ht="15.75" customHeight="1" x14ac:dyDescent="0.35">
      <c r="A75" s="10" t="s">
        <v>5342</v>
      </c>
      <c r="B75" s="10" t="s">
        <v>1926</v>
      </c>
      <c r="C75" s="10" t="s">
        <v>1927</v>
      </c>
      <c r="D75" s="11">
        <v>22</v>
      </c>
      <c r="E75" s="10"/>
    </row>
    <row r="76" spans="1:5" ht="15.75" customHeight="1" x14ac:dyDescent="0.35">
      <c r="A76" s="8" t="s">
        <v>5342</v>
      </c>
      <c r="B76" s="8" t="s">
        <v>1930</v>
      </c>
      <c r="C76" s="8" t="s">
        <v>1931</v>
      </c>
      <c r="D76" s="9">
        <v>22</v>
      </c>
      <c r="E76" s="8"/>
    </row>
    <row r="77" spans="1:5" ht="15.75" customHeight="1" x14ac:dyDescent="0.35">
      <c r="A77" s="10" t="s">
        <v>5342</v>
      </c>
      <c r="B77" s="10" t="s">
        <v>1934</v>
      </c>
      <c r="C77" s="10" t="s">
        <v>1935</v>
      </c>
      <c r="D77" s="11">
        <v>44</v>
      </c>
      <c r="E77" s="10"/>
    </row>
    <row r="78" spans="1:5" ht="15.75" customHeight="1" x14ac:dyDescent="0.35">
      <c r="A78" s="8" t="s">
        <v>5343</v>
      </c>
      <c r="B78" s="8" t="s">
        <v>1938</v>
      </c>
      <c r="C78" s="8" t="s">
        <v>1939</v>
      </c>
      <c r="D78" s="9">
        <v>194</v>
      </c>
      <c r="E78" s="8"/>
    </row>
    <row r="79" spans="1:5" ht="15.75" customHeight="1" x14ac:dyDescent="0.35">
      <c r="A79" s="10" t="s">
        <v>5343</v>
      </c>
      <c r="B79" s="10" t="s">
        <v>1942</v>
      </c>
      <c r="C79" s="10" t="s">
        <v>1943</v>
      </c>
      <c r="D79" s="11">
        <v>235</v>
      </c>
      <c r="E79" s="10"/>
    </row>
    <row r="80" spans="1:5" ht="15.75" customHeight="1" x14ac:dyDescent="0.35">
      <c r="A80" s="8" t="s">
        <v>5343</v>
      </c>
      <c r="B80" s="8" t="s">
        <v>1946</v>
      </c>
      <c r="C80" s="8" t="s">
        <v>1947</v>
      </c>
      <c r="D80" s="9">
        <v>235</v>
      </c>
      <c r="E80" s="8"/>
    </row>
    <row r="81" spans="1:5" ht="15.75" customHeight="1" x14ac:dyDescent="0.35">
      <c r="A81" s="10" t="s">
        <v>5343</v>
      </c>
      <c r="B81" s="10" t="s">
        <v>1950</v>
      </c>
      <c r="C81" s="10" t="s">
        <v>1951</v>
      </c>
      <c r="D81" s="11">
        <v>235</v>
      </c>
      <c r="E81" s="10"/>
    </row>
    <row r="82" spans="1:5" ht="15.75" customHeight="1" x14ac:dyDescent="0.35">
      <c r="A82" s="8" t="s">
        <v>5343</v>
      </c>
      <c r="B82" s="8" t="s">
        <v>1954</v>
      </c>
      <c r="C82" s="8" t="s">
        <v>1955</v>
      </c>
      <c r="D82" s="9">
        <v>235</v>
      </c>
      <c r="E82" s="8"/>
    </row>
    <row r="83" spans="1:5" ht="15.75" customHeight="1" x14ac:dyDescent="0.35">
      <c r="A83" s="10" t="s">
        <v>5344</v>
      </c>
      <c r="B83" s="10" t="s">
        <v>1958</v>
      </c>
      <c r="C83" s="10" t="s">
        <v>1959</v>
      </c>
      <c r="D83" s="11">
        <v>267</v>
      </c>
      <c r="E83" s="10"/>
    </row>
    <row r="84" spans="1:5" ht="15.75" customHeight="1" x14ac:dyDescent="0.35">
      <c r="A84" s="8" t="s">
        <v>5344</v>
      </c>
      <c r="B84" s="8" t="s">
        <v>1962</v>
      </c>
      <c r="C84" s="8" t="s">
        <v>1963</v>
      </c>
      <c r="D84" s="9">
        <v>46</v>
      </c>
      <c r="E84" s="8"/>
    </row>
    <row r="85" spans="1:5" ht="15.75" customHeight="1" x14ac:dyDescent="0.35">
      <c r="A85" s="10" t="s">
        <v>5344</v>
      </c>
      <c r="B85" s="10" t="s">
        <v>1966</v>
      </c>
      <c r="C85" s="10" t="s">
        <v>1967</v>
      </c>
      <c r="D85" s="11">
        <v>68</v>
      </c>
      <c r="E85" s="10"/>
    </row>
    <row r="86" spans="1:5" ht="15.75" customHeight="1" x14ac:dyDescent="0.35">
      <c r="A86" s="8" t="s">
        <v>5344</v>
      </c>
      <c r="B86" s="8" t="s">
        <v>1970</v>
      </c>
      <c r="C86" s="8" t="s">
        <v>1971</v>
      </c>
      <c r="D86" s="9">
        <v>107</v>
      </c>
      <c r="E86" s="8"/>
    </row>
    <row r="87" spans="1:5" ht="15.75" customHeight="1" x14ac:dyDescent="0.35">
      <c r="A87" s="10" t="s">
        <v>5344</v>
      </c>
      <c r="B87" s="10" t="s">
        <v>1974</v>
      </c>
      <c r="C87" s="10" t="s">
        <v>1975</v>
      </c>
      <c r="D87" s="11">
        <v>267</v>
      </c>
      <c r="E87" s="10"/>
    </row>
    <row r="88" spans="1:5" ht="15.75" customHeight="1" x14ac:dyDescent="0.35">
      <c r="A88" s="8" t="s">
        <v>5215</v>
      </c>
      <c r="B88" s="8" t="s">
        <v>1978</v>
      </c>
      <c r="C88" s="8" t="s">
        <v>1979</v>
      </c>
      <c r="D88" s="9">
        <v>1913</v>
      </c>
      <c r="E88" s="8"/>
    </row>
    <row r="89" spans="1:5" ht="15.75" customHeight="1" x14ac:dyDescent="0.35">
      <c r="A89" s="10" t="s">
        <v>5215</v>
      </c>
      <c r="B89" s="10" t="s">
        <v>1982</v>
      </c>
      <c r="C89" s="10" t="s">
        <v>1983</v>
      </c>
      <c r="D89" s="11">
        <v>2389</v>
      </c>
      <c r="E89" s="10"/>
    </row>
    <row r="90" spans="1:5" ht="15.75" customHeight="1" x14ac:dyDescent="0.35">
      <c r="A90" s="8" t="s">
        <v>5215</v>
      </c>
      <c r="B90" s="8" t="s">
        <v>1986</v>
      </c>
      <c r="C90" s="8" t="s">
        <v>1987</v>
      </c>
      <c r="D90" s="9">
        <v>1964</v>
      </c>
      <c r="E90" s="8"/>
    </row>
    <row r="91" spans="1:5" ht="15.75" customHeight="1" x14ac:dyDescent="0.35">
      <c r="A91" s="10" t="s">
        <v>5215</v>
      </c>
      <c r="B91" s="10" t="s">
        <v>1990</v>
      </c>
      <c r="C91" s="10" t="s">
        <v>1991</v>
      </c>
      <c r="D91" s="11">
        <v>133</v>
      </c>
      <c r="E91" s="10"/>
    </row>
    <row r="92" spans="1:5" ht="15.75" customHeight="1" x14ac:dyDescent="0.35">
      <c r="A92" s="8" t="s">
        <v>5215</v>
      </c>
      <c r="B92" s="8" t="s">
        <v>1994</v>
      </c>
      <c r="C92" s="8" t="s">
        <v>1995</v>
      </c>
      <c r="D92" s="9">
        <v>1399</v>
      </c>
      <c r="E92" s="8"/>
    </row>
    <row r="93" spans="1:5" ht="15.75" customHeight="1" x14ac:dyDescent="0.35">
      <c r="A93" s="10" t="s">
        <v>5215</v>
      </c>
      <c r="B93" s="10" t="s">
        <v>1998</v>
      </c>
      <c r="C93" s="10" t="s">
        <v>1999</v>
      </c>
      <c r="D93" s="11">
        <v>373</v>
      </c>
      <c r="E93" s="10"/>
    </row>
    <row r="94" spans="1:5" ht="15.75" customHeight="1" x14ac:dyDescent="0.35">
      <c r="A94" s="8" t="s">
        <v>5215</v>
      </c>
      <c r="B94" s="8" t="s">
        <v>2002</v>
      </c>
      <c r="C94" s="8" t="s">
        <v>2003</v>
      </c>
      <c r="D94" s="9">
        <v>408</v>
      </c>
      <c r="E94" s="8"/>
    </row>
    <row r="95" spans="1:5" ht="15.75" customHeight="1" x14ac:dyDescent="0.35">
      <c r="A95" s="10" t="s">
        <v>5215</v>
      </c>
      <c r="B95" s="10" t="s">
        <v>2006</v>
      </c>
      <c r="C95" s="10" t="s">
        <v>2007</v>
      </c>
      <c r="D95" s="11">
        <v>237</v>
      </c>
      <c r="E95" s="10"/>
    </row>
    <row r="96" spans="1:5" ht="15.75" customHeight="1" x14ac:dyDescent="0.35">
      <c r="A96" s="8" t="s">
        <v>5345</v>
      </c>
      <c r="B96" s="8" t="s">
        <v>2010</v>
      </c>
      <c r="C96" s="8" t="s">
        <v>2011</v>
      </c>
      <c r="D96" s="9">
        <v>121</v>
      </c>
      <c r="E96" s="8"/>
    </row>
    <row r="97" spans="1:5" ht="15.75" customHeight="1" x14ac:dyDescent="0.35">
      <c r="A97" s="10" t="s">
        <v>5345</v>
      </c>
      <c r="B97" s="10" t="s">
        <v>2014</v>
      </c>
      <c r="C97" s="10" t="s">
        <v>2015</v>
      </c>
      <c r="D97" s="11">
        <v>194</v>
      </c>
      <c r="E97" s="10"/>
    </row>
    <row r="98" spans="1:5" ht="15.75" customHeight="1" x14ac:dyDescent="0.35">
      <c r="A98" s="8" t="s">
        <v>5345</v>
      </c>
      <c r="B98" s="8" t="s">
        <v>2018</v>
      </c>
      <c r="C98" s="8" t="s">
        <v>2019</v>
      </c>
      <c r="D98" s="9">
        <v>121</v>
      </c>
      <c r="E98" s="8"/>
    </row>
    <row r="99" spans="1:5" ht="15.75" customHeight="1" x14ac:dyDescent="0.35">
      <c r="A99" s="10" t="s">
        <v>5345</v>
      </c>
      <c r="B99" s="10" t="s">
        <v>2022</v>
      </c>
      <c r="C99" s="10" t="s">
        <v>2023</v>
      </c>
      <c r="D99" s="11">
        <v>265</v>
      </c>
      <c r="E99" s="10"/>
    </row>
    <row r="100" spans="1:5" ht="15.75" customHeight="1" x14ac:dyDescent="0.35">
      <c r="A100" s="8" t="s">
        <v>5346</v>
      </c>
      <c r="B100" s="8" t="s">
        <v>2026</v>
      </c>
      <c r="C100" s="8" t="s">
        <v>2027</v>
      </c>
      <c r="D100" s="9">
        <v>138</v>
      </c>
      <c r="E100" s="8"/>
    </row>
    <row r="101" spans="1:5" ht="15.75" customHeight="1" x14ac:dyDescent="0.35">
      <c r="A101" s="10" t="s">
        <v>5346</v>
      </c>
      <c r="B101" s="10" t="s">
        <v>2030</v>
      </c>
      <c r="C101" s="10" t="s">
        <v>2031</v>
      </c>
      <c r="D101" s="11">
        <v>121</v>
      </c>
      <c r="E101" s="10"/>
    </row>
    <row r="102" spans="1:5" ht="15.75" customHeight="1" x14ac:dyDescent="0.35">
      <c r="A102" s="8" t="s">
        <v>5346</v>
      </c>
      <c r="B102" s="8" t="s">
        <v>2034</v>
      </c>
      <c r="C102" s="8" t="s">
        <v>2035</v>
      </c>
      <c r="D102" s="9">
        <v>195</v>
      </c>
      <c r="E102" s="8"/>
    </row>
    <row r="103" spans="1:5" ht="15.75" customHeight="1" x14ac:dyDescent="0.35">
      <c r="A103" s="10" t="s">
        <v>5346</v>
      </c>
      <c r="B103" s="10" t="s">
        <v>2038</v>
      </c>
      <c r="C103" s="10" t="s">
        <v>2039</v>
      </c>
      <c r="D103" s="11">
        <v>316</v>
      </c>
      <c r="E103" s="10"/>
    </row>
    <row r="104" spans="1:5" ht="15.75" customHeight="1" x14ac:dyDescent="0.35">
      <c r="A104" s="8" t="s">
        <v>5346</v>
      </c>
      <c r="B104" s="8" t="s">
        <v>2042</v>
      </c>
      <c r="C104" s="8" t="s">
        <v>2043</v>
      </c>
      <c r="D104" s="9">
        <v>245</v>
      </c>
      <c r="E104" s="8"/>
    </row>
    <row r="105" spans="1:5" ht="15.75" customHeight="1" x14ac:dyDescent="0.35">
      <c r="A105" s="10" t="s">
        <v>5346</v>
      </c>
      <c r="B105" s="10" t="s">
        <v>2046</v>
      </c>
      <c r="C105" s="10" t="s">
        <v>2047</v>
      </c>
      <c r="D105" s="11">
        <v>320</v>
      </c>
      <c r="E105" s="10"/>
    </row>
    <row r="106" spans="1:5" ht="15.75" customHeight="1" x14ac:dyDescent="0.35">
      <c r="A106" s="8" t="s">
        <v>5346</v>
      </c>
      <c r="B106" s="8" t="s">
        <v>2050</v>
      </c>
      <c r="C106" s="8" t="s">
        <v>2051</v>
      </c>
      <c r="D106" s="9">
        <v>21</v>
      </c>
      <c r="E106" s="8"/>
    </row>
    <row r="107" spans="1:5" ht="15.75" customHeight="1" x14ac:dyDescent="0.35">
      <c r="A107" s="10" t="s">
        <v>5346</v>
      </c>
      <c r="B107" s="10" t="s">
        <v>2054</v>
      </c>
      <c r="C107" s="10" t="s">
        <v>2055</v>
      </c>
      <c r="D107" s="11">
        <v>110</v>
      </c>
      <c r="E107" s="10"/>
    </row>
    <row r="108" spans="1:5" ht="15.75" customHeight="1" x14ac:dyDescent="0.35">
      <c r="A108" s="8" t="s">
        <v>5346</v>
      </c>
      <c r="B108" s="8" t="s">
        <v>2058</v>
      </c>
      <c r="C108" s="8" t="s">
        <v>2059</v>
      </c>
      <c r="D108" s="9">
        <v>29</v>
      </c>
      <c r="E108" s="8"/>
    </row>
    <row r="109" spans="1:5" ht="15.75" customHeight="1" x14ac:dyDescent="0.35">
      <c r="A109" s="10" t="s">
        <v>5347</v>
      </c>
      <c r="B109" s="10" t="s">
        <v>2062</v>
      </c>
      <c r="C109" s="10" t="s">
        <v>2063</v>
      </c>
      <c r="D109" s="11">
        <v>184</v>
      </c>
      <c r="E109" s="10"/>
    </row>
    <row r="110" spans="1:5" ht="15.75" customHeight="1" x14ac:dyDescent="0.35">
      <c r="A110" s="8" t="s">
        <v>5347</v>
      </c>
      <c r="B110" s="8" t="s">
        <v>2066</v>
      </c>
      <c r="C110" s="8" t="s">
        <v>2067</v>
      </c>
      <c r="D110" s="9">
        <v>240</v>
      </c>
      <c r="E110" s="8"/>
    </row>
    <row r="111" spans="1:5" ht="15.75" customHeight="1" x14ac:dyDescent="0.35">
      <c r="A111" s="10" t="s">
        <v>5347</v>
      </c>
      <c r="B111" s="10" t="s">
        <v>2070</v>
      </c>
      <c r="C111" s="10" t="s">
        <v>2071</v>
      </c>
      <c r="D111" s="11">
        <v>240</v>
      </c>
      <c r="E111" s="10"/>
    </row>
    <row r="112" spans="1:5" ht="15.75" customHeight="1" x14ac:dyDescent="0.35">
      <c r="A112" s="8" t="s">
        <v>5347</v>
      </c>
      <c r="B112" s="8" t="s">
        <v>2074</v>
      </c>
      <c r="C112" s="8" t="s">
        <v>2075</v>
      </c>
      <c r="D112" s="9">
        <v>240</v>
      </c>
      <c r="E112" s="8"/>
    </row>
    <row r="113" spans="1:5" ht="15.75" customHeight="1" x14ac:dyDescent="0.35">
      <c r="A113" s="10" t="s">
        <v>5347</v>
      </c>
      <c r="B113" s="10" t="s">
        <v>2078</v>
      </c>
      <c r="C113" s="10" t="s">
        <v>2079</v>
      </c>
      <c r="D113" s="11">
        <v>260</v>
      </c>
      <c r="E113" s="10"/>
    </row>
    <row r="114" spans="1:5" ht="15.75" customHeight="1" x14ac:dyDescent="0.35">
      <c r="A114" s="8" t="s">
        <v>5347</v>
      </c>
      <c r="B114" s="8" t="s">
        <v>2082</v>
      </c>
      <c r="C114" s="8" t="s">
        <v>2083</v>
      </c>
      <c r="D114" s="9">
        <v>502</v>
      </c>
      <c r="E114" s="8"/>
    </row>
    <row r="115" spans="1:5" ht="15.75" customHeight="1" x14ac:dyDescent="0.35">
      <c r="A115" s="10" t="s">
        <v>5347</v>
      </c>
      <c r="B115" s="10" t="s">
        <v>2086</v>
      </c>
      <c r="C115" s="10" t="s">
        <v>2087</v>
      </c>
      <c r="D115" s="11">
        <v>22</v>
      </c>
      <c r="E115" s="10"/>
    </row>
    <row r="116" spans="1:5" ht="15.75" customHeight="1" x14ac:dyDescent="0.35">
      <c r="A116" s="8" t="s">
        <v>5347</v>
      </c>
      <c r="B116" s="8" t="s">
        <v>2090</v>
      </c>
      <c r="C116" s="8" t="s">
        <v>2091</v>
      </c>
      <c r="D116" s="9">
        <v>21</v>
      </c>
      <c r="E116" s="8"/>
    </row>
    <row r="117" spans="1:5" ht="15.75" customHeight="1" x14ac:dyDescent="0.35">
      <c r="A117" s="10" t="s">
        <v>5347</v>
      </c>
      <c r="B117" s="10" t="s">
        <v>2094</v>
      </c>
      <c r="C117" s="10" t="s">
        <v>2095</v>
      </c>
      <c r="D117" s="11">
        <v>184</v>
      </c>
      <c r="E117" s="10"/>
    </row>
    <row r="118" spans="1:5" ht="15.75" customHeight="1" x14ac:dyDescent="0.35">
      <c r="A118" s="8" t="s">
        <v>5347</v>
      </c>
      <c r="B118" s="8" t="s">
        <v>2098</v>
      </c>
      <c r="C118" s="8" t="s">
        <v>2099</v>
      </c>
      <c r="D118" s="9">
        <v>502</v>
      </c>
      <c r="E118" s="8"/>
    </row>
    <row r="119" spans="1:5" ht="15.75" customHeight="1" x14ac:dyDescent="0.35">
      <c r="A119" s="10" t="s">
        <v>5347</v>
      </c>
      <c r="B119" s="10" t="s">
        <v>2102</v>
      </c>
      <c r="C119" s="10" t="s">
        <v>2103</v>
      </c>
      <c r="D119" s="11">
        <v>22</v>
      </c>
      <c r="E119" s="10"/>
    </row>
    <row r="120" spans="1:5" ht="15.75" customHeight="1" x14ac:dyDescent="0.35">
      <c r="A120" s="8" t="s">
        <v>5348</v>
      </c>
      <c r="B120" s="8" t="s">
        <v>2106</v>
      </c>
      <c r="C120" s="8" t="s">
        <v>2107</v>
      </c>
      <c r="D120" s="9">
        <v>161</v>
      </c>
      <c r="E120" s="8"/>
    </row>
    <row r="121" spans="1:5" ht="15.75" customHeight="1" x14ac:dyDescent="0.35">
      <c r="A121" s="10" t="s">
        <v>5348</v>
      </c>
      <c r="B121" s="10" t="s">
        <v>2110</v>
      </c>
      <c r="C121" s="10" t="s">
        <v>2111</v>
      </c>
      <c r="D121" s="11">
        <v>229</v>
      </c>
      <c r="E121" s="10"/>
    </row>
    <row r="122" spans="1:5" ht="15.75" customHeight="1" x14ac:dyDescent="0.35">
      <c r="A122" s="8" t="s">
        <v>5348</v>
      </c>
      <c r="B122" s="8" t="s">
        <v>2114</v>
      </c>
      <c r="C122" s="8" t="s">
        <v>2115</v>
      </c>
      <c r="D122" s="9">
        <v>298</v>
      </c>
      <c r="E122" s="8"/>
    </row>
    <row r="123" spans="1:5" ht="15.75" customHeight="1" x14ac:dyDescent="0.35">
      <c r="A123" s="10" t="s">
        <v>5348</v>
      </c>
      <c r="B123" s="10" t="s">
        <v>2118</v>
      </c>
      <c r="C123" s="10" t="s">
        <v>2119</v>
      </c>
      <c r="D123" s="11">
        <v>161</v>
      </c>
      <c r="E123" s="10"/>
    </row>
    <row r="124" spans="1:5" ht="15.75" customHeight="1" x14ac:dyDescent="0.35">
      <c r="A124" s="8" t="s">
        <v>5348</v>
      </c>
      <c r="B124" s="8" t="s">
        <v>2122</v>
      </c>
      <c r="C124" s="8" t="s">
        <v>2123</v>
      </c>
      <c r="D124" s="9">
        <v>170</v>
      </c>
      <c r="E124" s="8"/>
    </row>
    <row r="125" spans="1:5" ht="15.75" customHeight="1" x14ac:dyDescent="0.35">
      <c r="A125" s="10" t="s">
        <v>5348</v>
      </c>
      <c r="B125" s="10" t="s">
        <v>2126</v>
      </c>
      <c r="C125" s="10" t="s">
        <v>2127</v>
      </c>
      <c r="D125" s="11">
        <v>122</v>
      </c>
      <c r="E125" s="10"/>
    </row>
    <row r="126" spans="1:5" ht="15.75" customHeight="1" x14ac:dyDescent="0.35">
      <c r="A126" s="8" t="s">
        <v>5348</v>
      </c>
      <c r="B126" s="8" t="s">
        <v>2130</v>
      </c>
      <c r="C126" s="8" t="s">
        <v>2131</v>
      </c>
      <c r="D126" s="9">
        <v>143</v>
      </c>
      <c r="E126" s="8"/>
    </row>
    <row r="127" spans="1:5" ht="15.75" customHeight="1" x14ac:dyDescent="0.35">
      <c r="A127" s="10" t="s">
        <v>5348</v>
      </c>
      <c r="B127" s="10" t="s">
        <v>2134</v>
      </c>
      <c r="C127" s="10" t="s">
        <v>2135</v>
      </c>
      <c r="D127" s="11">
        <v>381</v>
      </c>
      <c r="E127" s="10"/>
    </row>
    <row r="128" spans="1:5" ht="15.75" customHeight="1" x14ac:dyDescent="0.35">
      <c r="A128" s="8" t="s">
        <v>5348</v>
      </c>
      <c r="B128" s="8" t="s">
        <v>2138</v>
      </c>
      <c r="C128" s="8" t="s">
        <v>2139</v>
      </c>
      <c r="D128" s="9">
        <v>399</v>
      </c>
      <c r="E128" s="8"/>
    </row>
    <row r="129" spans="1:5" ht="15.75" customHeight="1" x14ac:dyDescent="0.35">
      <c r="A129" s="10" t="s">
        <v>5348</v>
      </c>
      <c r="B129" s="10" t="s">
        <v>2142</v>
      </c>
      <c r="C129" s="10" t="s">
        <v>2143</v>
      </c>
      <c r="D129" s="11">
        <v>171</v>
      </c>
      <c r="E129" s="10"/>
    </row>
    <row r="130" spans="1:5" ht="15.75" customHeight="1" x14ac:dyDescent="0.35">
      <c r="A130" s="8" t="s">
        <v>5348</v>
      </c>
      <c r="B130" s="8" t="s">
        <v>2146</v>
      </c>
      <c r="C130" s="8" t="s">
        <v>2147</v>
      </c>
      <c r="D130" s="9">
        <v>190</v>
      </c>
      <c r="E130" s="8"/>
    </row>
    <row r="131" spans="1:5" ht="15.75" customHeight="1" x14ac:dyDescent="0.35">
      <c r="A131" s="10" t="s">
        <v>5349</v>
      </c>
      <c r="B131" s="10" t="s">
        <v>2150</v>
      </c>
      <c r="C131" s="10" t="s">
        <v>2151</v>
      </c>
      <c r="D131" s="11">
        <v>36</v>
      </c>
      <c r="E131" s="10"/>
    </row>
    <row r="132" spans="1:5" ht="15.75" customHeight="1" x14ac:dyDescent="0.35">
      <c r="A132" s="8" t="s">
        <v>5349</v>
      </c>
      <c r="B132" s="8" t="s">
        <v>2154</v>
      </c>
      <c r="C132" s="8" t="s">
        <v>2155</v>
      </c>
      <c r="D132" s="9">
        <v>79</v>
      </c>
      <c r="E132" s="8"/>
    </row>
    <row r="133" spans="1:5" ht="15.75" customHeight="1" x14ac:dyDescent="0.35">
      <c r="A133" s="10" t="s">
        <v>5349</v>
      </c>
      <c r="B133" s="10" t="s">
        <v>2158</v>
      </c>
      <c r="C133" s="10" t="s">
        <v>2159</v>
      </c>
      <c r="D133" s="11">
        <v>205</v>
      </c>
      <c r="E133" s="10"/>
    </row>
    <row r="134" spans="1:5" ht="15.75" customHeight="1" x14ac:dyDescent="0.35">
      <c r="A134" s="8" t="s">
        <v>5349</v>
      </c>
      <c r="B134" s="8" t="s">
        <v>2162</v>
      </c>
      <c r="C134" s="8" t="s">
        <v>2163</v>
      </c>
      <c r="D134" s="9">
        <v>524</v>
      </c>
      <c r="E134" s="8"/>
    </row>
    <row r="135" spans="1:5" ht="15.75" customHeight="1" x14ac:dyDescent="0.35">
      <c r="A135" s="10" t="s">
        <v>5349</v>
      </c>
      <c r="B135" s="10" t="s">
        <v>2166</v>
      </c>
      <c r="C135" s="10" t="s">
        <v>2167</v>
      </c>
      <c r="D135" s="11">
        <v>758</v>
      </c>
      <c r="E135" s="10"/>
    </row>
    <row r="136" spans="1:5" ht="15.75" customHeight="1" x14ac:dyDescent="0.35">
      <c r="A136" s="8" t="s">
        <v>5349</v>
      </c>
      <c r="B136" s="8" t="s">
        <v>2170</v>
      </c>
      <c r="C136" s="8" t="s">
        <v>2171</v>
      </c>
      <c r="D136" s="9">
        <v>1094</v>
      </c>
      <c r="E136" s="8"/>
    </row>
    <row r="137" spans="1:5" ht="15.75" customHeight="1" x14ac:dyDescent="0.35">
      <c r="A137" s="10" t="s">
        <v>5350</v>
      </c>
      <c r="B137" s="10" t="s">
        <v>2174</v>
      </c>
      <c r="C137" s="10" t="s">
        <v>2175</v>
      </c>
      <c r="D137" s="11">
        <v>190</v>
      </c>
      <c r="E137" s="10"/>
    </row>
    <row r="138" spans="1:5" ht="15.75" customHeight="1" x14ac:dyDescent="0.35">
      <c r="A138" s="8" t="s">
        <v>5350</v>
      </c>
      <c r="B138" s="8" t="s">
        <v>2178</v>
      </c>
      <c r="C138" s="8" t="s">
        <v>2179</v>
      </c>
      <c r="D138" s="9">
        <v>158</v>
      </c>
      <c r="E138" s="8"/>
    </row>
    <row r="139" spans="1:5" ht="15.75" customHeight="1" x14ac:dyDescent="0.35">
      <c r="A139" s="10" t="s">
        <v>5350</v>
      </c>
      <c r="B139" s="10" t="s">
        <v>2182</v>
      </c>
      <c r="C139" s="10" t="s">
        <v>2183</v>
      </c>
      <c r="D139" s="11">
        <v>195</v>
      </c>
      <c r="E139" s="10"/>
    </row>
    <row r="140" spans="1:5" ht="15.75" customHeight="1" x14ac:dyDescent="0.35">
      <c r="A140" s="8" t="s">
        <v>5351</v>
      </c>
      <c r="B140" s="8" t="s">
        <v>2186</v>
      </c>
      <c r="C140" s="8" t="s">
        <v>2187</v>
      </c>
      <c r="D140" s="9">
        <v>744</v>
      </c>
      <c r="E140" s="8"/>
    </row>
    <row r="141" spans="1:5" ht="15.75" customHeight="1" x14ac:dyDescent="0.35">
      <c r="A141" s="10" t="s">
        <v>5351</v>
      </c>
      <c r="B141" s="10" t="s">
        <v>2190</v>
      </c>
      <c r="C141" s="10" t="s">
        <v>2191</v>
      </c>
      <c r="D141" s="11">
        <v>2873</v>
      </c>
      <c r="E141" s="10"/>
    </row>
    <row r="142" spans="1:5" ht="15.75" customHeight="1" x14ac:dyDescent="0.35">
      <c r="A142" s="8" t="s">
        <v>5351</v>
      </c>
      <c r="B142" s="8" t="s">
        <v>2194</v>
      </c>
      <c r="C142" s="8" t="s">
        <v>2195</v>
      </c>
      <c r="D142" s="9">
        <v>2873</v>
      </c>
      <c r="E142" s="8"/>
    </row>
    <row r="143" spans="1:5" ht="15.75" customHeight="1" x14ac:dyDescent="0.35">
      <c r="A143" s="10" t="s">
        <v>5351</v>
      </c>
      <c r="B143" s="10" t="s">
        <v>2198</v>
      </c>
      <c r="C143" s="10" t="s">
        <v>2199</v>
      </c>
      <c r="D143" s="11">
        <v>2840</v>
      </c>
      <c r="E143" s="10"/>
    </row>
    <row r="144" spans="1:5" ht="15.75" customHeight="1" x14ac:dyDescent="0.35">
      <c r="A144" s="8" t="s">
        <v>5351</v>
      </c>
      <c r="B144" s="8" t="s">
        <v>2202</v>
      </c>
      <c r="C144" s="8" t="s">
        <v>2203</v>
      </c>
      <c r="D144" s="9">
        <v>3363</v>
      </c>
      <c r="E144" s="8"/>
    </row>
    <row r="145" spans="1:5" ht="15.75" customHeight="1" x14ac:dyDescent="0.35">
      <c r="A145" s="10" t="s">
        <v>5351</v>
      </c>
      <c r="B145" s="10" t="s">
        <v>2206</v>
      </c>
      <c r="C145" s="10" t="s">
        <v>2207</v>
      </c>
      <c r="D145" s="11">
        <v>3363</v>
      </c>
      <c r="E145" s="10"/>
    </row>
    <row r="146" spans="1:5" ht="15.75" customHeight="1" x14ac:dyDescent="0.35">
      <c r="A146" s="8" t="s">
        <v>5352</v>
      </c>
      <c r="B146" s="8" t="s">
        <v>2210</v>
      </c>
      <c r="C146" s="8" t="s">
        <v>2211</v>
      </c>
      <c r="D146" s="9">
        <v>986</v>
      </c>
      <c r="E146" s="8"/>
    </row>
    <row r="147" spans="1:5" ht="15.75" customHeight="1" x14ac:dyDescent="0.35">
      <c r="A147" s="10" t="s">
        <v>5352</v>
      </c>
      <c r="B147" s="10" t="s">
        <v>2214</v>
      </c>
      <c r="C147" s="10" t="s">
        <v>2215</v>
      </c>
      <c r="D147" s="11">
        <v>1361</v>
      </c>
      <c r="E147" s="10"/>
    </row>
    <row r="148" spans="1:5" ht="15.75" customHeight="1" x14ac:dyDescent="0.35">
      <c r="A148" s="8" t="s">
        <v>5352</v>
      </c>
      <c r="B148" s="8" t="s">
        <v>2218</v>
      </c>
      <c r="C148" s="8" t="s">
        <v>2219</v>
      </c>
      <c r="D148" s="9">
        <v>4532</v>
      </c>
      <c r="E148" s="8"/>
    </row>
    <row r="149" spans="1:5" ht="15.75" customHeight="1" x14ac:dyDescent="0.35">
      <c r="A149" s="10" t="s">
        <v>5352</v>
      </c>
      <c r="B149" s="10" t="s">
        <v>2222</v>
      </c>
      <c r="C149" s="10" t="s">
        <v>2223</v>
      </c>
      <c r="D149" s="11">
        <v>1287</v>
      </c>
      <c r="E149" s="10"/>
    </row>
    <row r="150" spans="1:5" ht="15.75" customHeight="1" x14ac:dyDescent="0.35">
      <c r="A150" s="8" t="s">
        <v>5352</v>
      </c>
      <c r="B150" s="8" t="s">
        <v>2226</v>
      </c>
      <c r="C150" s="8" t="s">
        <v>2227</v>
      </c>
      <c r="D150" s="9">
        <v>1740</v>
      </c>
      <c r="E150" s="8"/>
    </row>
    <row r="151" spans="1:5" ht="15.75" customHeight="1" x14ac:dyDescent="0.35">
      <c r="A151" s="10" t="s">
        <v>5352</v>
      </c>
      <c r="B151" s="10" t="s">
        <v>2230</v>
      </c>
      <c r="C151" s="10" t="s">
        <v>2231</v>
      </c>
      <c r="D151" s="11">
        <v>5286</v>
      </c>
      <c r="E151" s="10"/>
    </row>
    <row r="152" spans="1:5" ht="15.75" customHeight="1" x14ac:dyDescent="0.35">
      <c r="A152" s="8" t="s">
        <v>5353</v>
      </c>
      <c r="B152" s="8" t="s">
        <v>2234</v>
      </c>
      <c r="C152" s="8" t="s">
        <v>2235</v>
      </c>
      <c r="D152" s="9">
        <v>455</v>
      </c>
      <c r="E152" s="8" t="s">
        <v>5354</v>
      </c>
    </row>
    <row r="153" spans="1:5" ht="15.75" customHeight="1" x14ac:dyDescent="0.35">
      <c r="A153" s="10" t="s">
        <v>5353</v>
      </c>
      <c r="B153" s="10" t="s">
        <v>2238</v>
      </c>
      <c r="C153" s="10" t="s">
        <v>2239</v>
      </c>
      <c r="D153" s="11">
        <v>531</v>
      </c>
      <c r="E153" s="10" t="s">
        <v>5354</v>
      </c>
    </row>
    <row r="154" spans="1:5" ht="15.75" customHeight="1" x14ac:dyDescent="0.35">
      <c r="A154" s="8" t="s">
        <v>5353</v>
      </c>
      <c r="B154" s="8" t="s">
        <v>2242</v>
      </c>
      <c r="C154" s="8" t="s">
        <v>2243</v>
      </c>
      <c r="D154" s="9">
        <v>561</v>
      </c>
      <c r="E154" s="8" t="s">
        <v>5354</v>
      </c>
    </row>
    <row r="155" spans="1:5" ht="15.75" customHeight="1" x14ac:dyDescent="0.35">
      <c r="A155" s="10" t="s">
        <v>5353</v>
      </c>
      <c r="B155" s="10" t="s">
        <v>2246</v>
      </c>
      <c r="C155" s="10" t="s">
        <v>2247</v>
      </c>
      <c r="D155" s="11">
        <v>102</v>
      </c>
      <c r="E155" s="10" t="s">
        <v>5355</v>
      </c>
    </row>
    <row r="156" spans="1:5" ht="15.75" customHeight="1" x14ac:dyDescent="0.35">
      <c r="A156" s="8" t="s">
        <v>5353</v>
      </c>
      <c r="B156" s="8" t="s">
        <v>2250</v>
      </c>
      <c r="C156" s="8" t="s">
        <v>2251</v>
      </c>
      <c r="D156" s="9">
        <v>168</v>
      </c>
      <c r="E156" s="8" t="s">
        <v>5356</v>
      </c>
    </row>
    <row r="157" spans="1:5" ht="15.75" customHeight="1" x14ac:dyDescent="0.35">
      <c r="A157" s="10" t="s">
        <v>5353</v>
      </c>
      <c r="B157" s="10" t="s">
        <v>2254</v>
      </c>
      <c r="C157" s="10" t="s">
        <v>2255</v>
      </c>
      <c r="D157" s="11">
        <v>161</v>
      </c>
      <c r="E157" s="10" t="s">
        <v>5357</v>
      </c>
    </row>
    <row r="158" spans="1:5" ht="15.75" customHeight="1" x14ac:dyDescent="0.35">
      <c r="A158" s="8" t="s">
        <v>5353</v>
      </c>
      <c r="B158" s="8" t="s">
        <v>2258</v>
      </c>
      <c r="C158" s="8" t="s">
        <v>2259</v>
      </c>
      <c r="D158" s="9">
        <v>252</v>
      </c>
      <c r="E158" s="8"/>
    </row>
    <row r="159" spans="1:5" ht="15.75" customHeight="1" x14ac:dyDescent="0.35">
      <c r="A159" s="10" t="s">
        <v>5358</v>
      </c>
      <c r="B159" s="10" t="s">
        <v>2262</v>
      </c>
      <c r="C159" s="10" t="s">
        <v>2263</v>
      </c>
      <c r="D159" s="11">
        <v>383</v>
      </c>
      <c r="E159" s="10"/>
    </row>
    <row r="160" spans="1:5" ht="15.75" customHeight="1" x14ac:dyDescent="0.35">
      <c r="A160" s="8" t="s">
        <v>5358</v>
      </c>
      <c r="B160" s="8" t="s">
        <v>2266</v>
      </c>
      <c r="C160" s="8" t="s">
        <v>2267</v>
      </c>
      <c r="D160" s="9">
        <v>1590</v>
      </c>
      <c r="E160" s="8"/>
    </row>
    <row r="161" spans="1:5" ht="15.75" customHeight="1" x14ac:dyDescent="0.35">
      <c r="A161" s="10" t="s">
        <v>5359</v>
      </c>
      <c r="B161" s="10" t="s">
        <v>2270</v>
      </c>
      <c r="C161" s="10" t="s">
        <v>2271</v>
      </c>
      <c r="D161" s="11">
        <v>2386</v>
      </c>
      <c r="E161" s="10"/>
    </row>
    <row r="162" spans="1:5" ht="15.75" customHeight="1" x14ac:dyDescent="0.35">
      <c r="A162" s="8" t="s">
        <v>5359</v>
      </c>
      <c r="B162" s="8" t="s">
        <v>2274</v>
      </c>
      <c r="C162" s="8" t="s">
        <v>2275</v>
      </c>
      <c r="D162" s="9">
        <v>2862</v>
      </c>
      <c r="E162" s="8"/>
    </row>
    <row r="163" spans="1:5" ht="15.75" customHeight="1" x14ac:dyDescent="0.35">
      <c r="A163" s="10" t="s">
        <v>5359</v>
      </c>
      <c r="B163" s="10" t="s">
        <v>2278</v>
      </c>
      <c r="C163" s="10" t="s">
        <v>2279</v>
      </c>
      <c r="D163" s="11">
        <v>449</v>
      </c>
      <c r="E163" s="10"/>
    </row>
    <row r="164" spans="1:5" ht="15.75" customHeight="1" x14ac:dyDescent="0.35">
      <c r="A164" s="8" t="s">
        <v>5359</v>
      </c>
      <c r="B164" s="8" t="s">
        <v>2282</v>
      </c>
      <c r="C164" s="8" t="s">
        <v>2283</v>
      </c>
      <c r="D164" s="9">
        <v>207</v>
      </c>
      <c r="E164" s="8"/>
    </row>
    <row r="165" spans="1:5" ht="15.75" customHeight="1" x14ac:dyDescent="0.35">
      <c r="A165" s="10" t="s">
        <v>5360</v>
      </c>
      <c r="B165" s="10" t="s">
        <v>2286</v>
      </c>
      <c r="C165" s="10" t="s">
        <v>2287</v>
      </c>
      <c r="D165" s="11">
        <v>15</v>
      </c>
      <c r="E165" s="10" t="s">
        <v>5361</v>
      </c>
    </row>
    <row r="166" spans="1:5" ht="15.75" customHeight="1" x14ac:dyDescent="0.35">
      <c r="A166" s="8" t="s">
        <v>5360</v>
      </c>
      <c r="B166" s="8" t="s">
        <v>2290</v>
      </c>
      <c r="C166" s="8" t="s">
        <v>2291</v>
      </c>
      <c r="D166" s="9">
        <v>3</v>
      </c>
      <c r="E166" s="8"/>
    </row>
    <row r="167" spans="1:5" ht="15.75" customHeight="1" x14ac:dyDescent="0.35">
      <c r="A167" s="10" t="s">
        <v>5360</v>
      </c>
      <c r="B167" s="10" t="s">
        <v>2294</v>
      </c>
      <c r="C167" s="10" t="s">
        <v>2295</v>
      </c>
      <c r="D167" s="11">
        <v>5</v>
      </c>
      <c r="E167" s="10"/>
    </row>
    <row r="168" spans="1:5" ht="15.75" customHeight="1" x14ac:dyDescent="0.35">
      <c r="A168" s="8" t="s">
        <v>5360</v>
      </c>
      <c r="B168" s="8" t="s">
        <v>2298</v>
      </c>
      <c r="C168" s="8" t="s">
        <v>2299</v>
      </c>
      <c r="D168" s="9">
        <v>15</v>
      </c>
      <c r="E168" s="8"/>
    </row>
    <row r="169" spans="1:5" ht="15.75" customHeight="1" x14ac:dyDescent="0.35">
      <c r="A169" s="10" t="s">
        <v>5360</v>
      </c>
      <c r="B169" s="10" t="s">
        <v>2302</v>
      </c>
      <c r="C169" s="10" t="s">
        <v>2303</v>
      </c>
      <c r="D169" s="11">
        <v>1</v>
      </c>
      <c r="E169" s="10"/>
    </row>
    <row r="170" spans="1:5" ht="15.75" customHeight="1" x14ac:dyDescent="0.35">
      <c r="A170" s="8" t="s">
        <v>5360</v>
      </c>
      <c r="B170" s="8" t="s">
        <v>2306</v>
      </c>
      <c r="C170" s="8" t="s">
        <v>2307</v>
      </c>
      <c r="D170" s="9">
        <v>4</v>
      </c>
      <c r="E170" s="8"/>
    </row>
    <row r="171" spans="1:5" ht="15.75" customHeight="1" x14ac:dyDescent="0.35">
      <c r="A171" s="10" t="s">
        <v>5360</v>
      </c>
      <c r="B171" s="10" t="s">
        <v>2310</v>
      </c>
      <c r="C171" s="10" t="s">
        <v>2311</v>
      </c>
      <c r="D171" s="11">
        <v>58</v>
      </c>
      <c r="E171" s="10"/>
    </row>
    <row r="172" spans="1:5" ht="15.75" customHeight="1" x14ac:dyDescent="0.35">
      <c r="A172" s="8" t="s">
        <v>5360</v>
      </c>
      <c r="B172" s="8" t="s">
        <v>2314</v>
      </c>
      <c r="C172" s="8" t="s">
        <v>2315</v>
      </c>
      <c r="D172" s="9">
        <v>41</v>
      </c>
      <c r="E172" s="8"/>
    </row>
    <row r="173" spans="1:5" ht="15.75" customHeight="1" x14ac:dyDescent="0.35">
      <c r="A173" s="10" t="s">
        <v>5360</v>
      </c>
      <c r="B173" s="10" t="s">
        <v>2318</v>
      </c>
      <c r="C173" s="10" t="s">
        <v>2319</v>
      </c>
      <c r="D173" s="11">
        <v>45</v>
      </c>
      <c r="E173" s="10"/>
    </row>
    <row r="174" spans="1:5" ht="15.75" customHeight="1" x14ac:dyDescent="0.35">
      <c r="A174" s="8" t="s">
        <v>5360</v>
      </c>
      <c r="B174" s="8" t="s">
        <v>2322</v>
      </c>
      <c r="C174" s="8" t="s">
        <v>2323</v>
      </c>
      <c r="D174" s="9">
        <v>9</v>
      </c>
      <c r="E174" s="8"/>
    </row>
    <row r="175" spans="1:5" ht="15.75" customHeight="1" x14ac:dyDescent="0.35">
      <c r="A175" s="10" t="s">
        <v>5362</v>
      </c>
      <c r="B175" s="10" t="s">
        <v>2326</v>
      </c>
      <c r="C175" s="10" t="s">
        <v>2327</v>
      </c>
      <c r="D175" s="11">
        <v>107</v>
      </c>
      <c r="E175" s="10"/>
    </row>
    <row r="176" spans="1:5" ht="15.75" customHeight="1" x14ac:dyDescent="0.35">
      <c r="A176" s="8" t="s">
        <v>5362</v>
      </c>
      <c r="B176" s="8" t="s">
        <v>2330</v>
      </c>
      <c r="C176" s="8" t="s">
        <v>2331</v>
      </c>
      <c r="D176" s="9">
        <v>119</v>
      </c>
      <c r="E176" s="8"/>
    </row>
    <row r="177" spans="1:5" ht="15.75" customHeight="1" x14ac:dyDescent="0.35">
      <c r="A177" s="10" t="s">
        <v>5362</v>
      </c>
      <c r="B177" s="10" t="s">
        <v>2334</v>
      </c>
      <c r="C177" s="10" t="s">
        <v>2335</v>
      </c>
      <c r="D177" s="11">
        <v>107</v>
      </c>
      <c r="E177" s="10"/>
    </row>
    <row r="178" spans="1:5" ht="15.75" customHeight="1" x14ac:dyDescent="0.35">
      <c r="A178" s="8" t="s">
        <v>5362</v>
      </c>
      <c r="B178" s="8" t="s">
        <v>2338</v>
      </c>
      <c r="C178" s="8" t="s">
        <v>2339</v>
      </c>
      <c r="D178" s="9">
        <v>119</v>
      </c>
      <c r="E178" s="8"/>
    </row>
    <row r="179" spans="1:5" ht="15.75" customHeight="1" x14ac:dyDescent="0.35">
      <c r="A179" s="10" t="s">
        <v>5362</v>
      </c>
      <c r="B179" s="10" t="s">
        <v>2342</v>
      </c>
      <c r="C179" s="10" t="s">
        <v>2343</v>
      </c>
      <c r="D179" s="11">
        <v>108</v>
      </c>
      <c r="E179" s="10"/>
    </row>
    <row r="180" spans="1:5" ht="15.75" customHeight="1" x14ac:dyDescent="0.35">
      <c r="A180" s="8" t="s">
        <v>5362</v>
      </c>
      <c r="B180" s="8" t="s">
        <v>2346</v>
      </c>
      <c r="C180" s="8" t="s">
        <v>2347</v>
      </c>
      <c r="D180" s="9">
        <v>12</v>
      </c>
      <c r="E180" s="8"/>
    </row>
    <row r="181" spans="1:5" ht="15.75" customHeight="1" x14ac:dyDescent="0.35">
      <c r="A181" s="10" t="s">
        <v>5363</v>
      </c>
      <c r="B181" s="10" t="s">
        <v>2350</v>
      </c>
      <c r="C181" s="10" t="s">
        <v>2351</v>
      </c>
      <c r="D181" s="11">
        <v>158</v>
      </c>
      <c r="E181" s="10"/>
    </row>
    <row r="182" spans="1:5" ht="15.75" customHeight="1" x14ac:dyDescent="0.35">
      <c r="A182" s="8" t="s">
        <v>5363</v>
      </c>
      <c r="B182" s="8" t="s">
        <v>2354</v>
      </c>
      <c r="C182" s="8" t="s">
        <v>2355</v>
      </c>
      <c r="D182" s="9">
        <v>169</v>
      </c>
      <c r="E182" s="8"/>
    </row>
    <row r="183" spans="1:5" ht="15.75" customHeight="1" x14ac:dyDescent="0.35">
      <c r="A183" s="10" t="s">
        <v>5364</v>
      </c>
      <c r="B183" s="10" t="s">
        <v>2358</v>
      </c>
      <c r="C183" s="10" t="s">
        <v>2359</v>
      </c>
      <c r="D183" s="11">
        <v>184</v>
      </c>
      <c r="E183" s="10"/>
    </row>
    <row r="184" spans="1:5" ht="15.75" customHeight="1" x14ac:dyDescent="0.35">
      <c r="A184" s="8" t="s">
        <v>5364</v>
      </c>
      <c r="B184" s="8" t="s">
        <v>2362</v>
      </c>
      <c r="C184" s="8" t="s">
        <v>2363</v>
      </c>
      <c r="D184" s="9">
        <v>194</v>
      </c>
      <c r="E184" s="8"/>
    </row>
    <row r="185" spans="1:5" ht="15.75" customHeight="1" x14ac:dyDescent="0.35">
      <c r="A185" s="10" t="s">
        <v>5364</v>
      </c>
      <c r="B185" s="10" t="s">
        <v>2366</v>
      </c>
      <c r="C185" s="10" t="s">
        <v>2367</v>
      </c>
      <c r="D185" s="11">
        <v>184</v>
      </c>
      <c r="E185" s="10"/>
    </row>
    <row r="186" spans="1:5" ht="15.75" customHeight="1" x14ac:dyDescent="0.35">
      <c r="A186" s="8" t="s">
        <v>5364</v>
      </c>
      <c r="B186" s="8" t="s">
        <v>2370</v>
      </c>
      <c r="C186" s="8" t="s">
        <v>2371</v>
      </c>
      <c r="D186" s="9">
        <v>194</v>
      </c>
      <c r="E186" s="8"/>
    </row>
    <row r="187" spans="1:5" ht="15.75" customHeight="1" x14ac:dyDescent="0.35">
      <c r="A187" s="10" t="s">
        <v>5364</v>
      </c>
      <c r="B187" s="10" t="s">
        <v>2374</v>
      </c>
      <c r="C187" s="10" t="s">
        <v>2375</v>
      </c>
      <c r="D187" s="11">
        <v>184</v>
      </c>
      <c r="E187" s="10"/>
    </row>
    <row r="188" spans="1:5" ht="15.75" customHeight="1" x14ac:dyDescent="0.35">
      <c r="A188" s="8" t="s">
        <v>5364</v>
      </c>
      <c r="B188" s="8" t="s">
        <v>2378</v>
      </c>
      <c r="C188" s="8" t="s">
        <v>2379</v>
      </c>
      <c r="D188" s="9">
        <v>194</v>
      </c>
      <c r="E188" s="8"/>
    </row>
    <row r="189" spans="1:5" ht="15.75" customHeight="1" x14ac:dyDescent="0.35">
      <c r="A189" s="10" t="s">
        <v>5365</v>
      </c>
      <c r="B189" s="10" t="s">
        <v>2382</v>
      </c>
      <c r="C189" s="10" t="s">
        <v>2383</v>
      </c>
      <c r="D189" s="11">
        <v>188</v>
      </c>
      <c r="E189" s="10"/>
    </row>
    <row r="190" spans="1:5" ht="15.75" customHeight="1" x14ac:dyDescent="0.35">
      <c r="A190" s="8" t="s">
        <v>5365</v>
      </c>
      <c r="B190" s="8" t="s">
        <v>2386</v>
      </c>
      <c r="C190" s="8" t="s">
        <v>2387</v>
      </c>
      <c r="D190" s="9">
        <v>184</v>
      </c>
      <c r="E190" s="8"/>
    </row>
    <row r="191" spans="1:5" ht="15.75" customHeight="1" x14ac:dyDescent="0.35">
      <c r="A191" s="10" t="s">
        <v>5365</v>
      </c>
      <c r="B191" s="10" t="s">
        <v>2390</v>
      </c>
      <c r="C191" s="10" t="s">
        <v>2391</v>
      </c>
      <c r="D191" s="11">
        <v>200</v>
      </c>
      <c r="E191" s="10"/>
    </row>
    <row r="192" spans="1:5" ht="15.75" customHeight="1" x14ac:dyDescent="0.35">
      <c r="A192" s="8" t="s">
        <v>5365</v>
      </c>
      <c r="B192" s="8" t="s">
        <v>2394</v>
      </c>
      <c r="C192" s="8" t="s">
        <v>2395</v>
      </c>
      <c r="D192" s="9">
        <v>351</v>
      </c>
      <c r="E192" s="8"/>
    </row>
    <row r="193" spans="1:5" ht="15.75" customHeight="1" x14ac:dyDescent="0.35">
      <c r="A193" s="10" t="s">
        <v>5365</v>
      </c>
      <c r="B193" s="10" t="s">
        <v>2398</v>
      </c>
      <c r="C193" s="10" t="s">
        <v>2399</v>
      </c>
      <c r="D193" s="11">
        <v>363</v>
      </c>
      <c r="E193" s="10"/>
    </row>
    <row r="194" spans="1:5" ht="15.75" customHeight="1" x14ac:dyDescent="0.35">
      <c r="A194" s="8" t="s">
        <v>5366</v>
      </c>
      <c r="B194" s="8" t="s">
        <v>2402</v>
      </c>
      <c r="C194" s="8" t="s">
        <v>2403</v>
      </c>
      <c r="D194" s="9">
        <v>245</v>
      </c>
      <c r="E194" s="8"/>
    </row>
    <row r="195" spans="1:5" ht="15.75" customHeight="1" x14ac:dyDescent="0.35">
      <c r="A195" s="10" t="s">
        <v>5366</v>
      </c>
      <c r="B195" s="10" t="s">
        <v>2406</v>
      </c>
      <c r="C195" s="10" t="s">
        <v>2407</v>
      </c>
      <c r="D195" s="11">
        <v>257</v>
      </c>
      <c r="E195" s="10"/>
    </row>
    <row r="196" spans="1:5" ht="15.75" customHeight="1" x14ac:dyDescent="0.35">
      <c r="A196" s="8" t="s">
        <v>5366</v>
      </c>
      <c r="B196" s="8" t="s">
        <v>2410</v>
      </c>
      <c r="C196" s="8" t="s">
        <v>2411</v>
      </c>
      <c r="D196" s="9">
        <v>245</v>
      </c>
      <c r="E196" s="8"/>
    </row>
    <row r="197" spans="1:5" ht="15.75" customHeight="1" x14ac:dyDescent="0.35">
      <c r="A197" s="10" t="s">
        <v>5366</v>
      </c>
      <c r="B197" s="10" t="s">
        <v>2414</v>
      </c>
      <c r="C197" s="10" t="s">
        <v>2415</v>
      </c>
      <c r="D197" s="11">
        <v>257</v>
      </c>
      <c r="E197" s="10"/>
    </row>
    <row r="198" spans="1:5" ht="15.75" customHeight="1" x14ac:dyDescent="0.35">
      <c r="A198" s="8" t="s">
        <v>5367</v>
      </c>
      <c r="B198" s="8" t="s">
        <v>2418</v>
      </c>
      <c r="C198" s="8" t="s">
        <v>2419</v>
      </c>
      <c r="D198" s="9">
        <v>87</v>
      </c>
      <c r="E198" s="8"/>
    </row>
    <row r="199" spans="1:5" ht="15.75" customHeight="1" x14ac:dyDescent="0.35">
      <c r="A199" s="10" t="s">
        <v>5367</v>
      </c>
      <c r="B199" s="10" t="s">
        <v>2422</v>
      </c>
      <c r="C199" s="10" t="s">
        <v>2423</v>
      </c>
      <c r="D199" s="11">
        <v>89</v>
      </c>
      <c r="E199" s="10"/>
    </row>
    <row r="200" spans="1:5" ht="15.75" customHeight="1" x14ac:dyDescent="0.35">
      <c r="A200" s="8" t="s">
        <v>5367</v>
      </c>
      <c r="B200" s="8" t="s">
        <v>2426</v>
      </c>
      <c r="C200" s="8" t="s">
        <v>2427</v>
      </c>
      <c r="D200" s="9">
        <v>72</v>
      </c>
      <c r="E200" s="8"/>
    </row>
    <row r="201" spans="1:5" ht="15.75" customHeight="1" x14ac:dyDescent="0.35">
      <c r="A201" s="10" t="s">
        <v>5367</v>
      </c>
      <c r="B201" s="10" t="s">
        <v>2430</v>
      </c>
      <c r="C201" s="10" t="s">
        <v>2431</v>
      </c>
      <c r="D201" s="11">
        <v>77</v>
      </c>
      <c r="E201" s="10"/>
    </row>
    <row r="202" spans="1:5" ht="15.75" customHeight="1" x14ac:dyDescent="0.35">
      <c r="A202" s="8" t="s">
        <v>5367</v>
      </c>
      <c r="B202" s="8" t="s">
        <v>2434</v>
      </c>
      <c r="C202" s="8" t="s">
        <v>2435</v>
      </c>
      <c r="D202" s="9">
        <v>217</v>
      </c>
      <c r="E202" s="8"/>
    </row>
    <row r="203" spans="1:5" ht="15.75" customHeight="1" x14ac:dyDescent="0.35">
      <c r="A203" s="10" t="s">
        <v>5367</v>
      </c>
      <c r="B203" s="10" t="s">
        <v>2438</v>
      </c>
      <c r="C203" s="10" t="s">
        <v>2439</v>
      </c>
      <c r="D203" s="11">
        <v>238</v>
      </c>
      <c r="E203" s="10"/>
    </row>
    <row r="204" spans="1:5" ht="15.75" customHeight="1" x14ac:dyDescent="0.35">
      <c r="A204" s="8" t="s">
        <v>5368</v>
      </c>
      <c r="B204" s="8" t="s">
        <v>2442</v>
      </c>
      <c r="C204" s="8" t="s">
        <v>2443</v>
      </c>
      <c r="D204" s="9">
        <v>15</v>
      </c>
      <c r="E204" s="8"/>
    </row>
    <row r="205" spans="1:5" ht="15.75" customHeight="1" x14ac:dyDescent="0.35">
      <c r="A205" s="10" t="s">
        <v>5368</v>
      </c>
      <c r="B205" s="10" t="s">
        <v>2446</v>
      </c>
      <c r="C205" s="10" t="s">
        <v>2447</v>
      </c>
      <c r="D205" s="11">
        <v>15</v>
      </c>
      <c r="E205" s="10"/>
    </row>
    <row r="206" spans="1:5" ht="15.75" customHeight="1" x14ac:dyDescent="0.35">
      <c r="A206" s="8" t="s">
        <v>5368</v>
      </c>
      <c r="B206" s="8" t="s">
        <v>2450</v>
      </c>
      <c r="C206" s="8" t="s">
        <v>2451</v>
      </c>
      <c r="D206" s="9">
        <v>15</v>
      </c>
      <c r="E206" s="8"/>
    </row>
    <row r="207" spans="1:5" ht="15.75" customHeight="1" x14ac:dyDescent="0.35">
      <c r="A207" s="10" t="s">
        <v>5368</v>
      </c>
      <c r="B207" s="10" t="s">
        <v>2454</v>
      </c>
      <c r="C207" s="10" t="s">
        <v>2455</v>
      </c>
      <c r="D207" s="11">
        <v>15</v>
      </c>
      <c r="E207" s="10"/>
    </row>
    <row r="208" spans="1:5" ht="15.75" customHeight="1" x14ac:dyDescent="0.35">
      <c r="A208" s="8" t="s">
        <v>5368</v>
      </c>
      <c r="B208" s="8" t="s">
        <v>2458</v>
      </c>
      <c r="C208" s="8" t="s">
        <v>2459</v>
      </c>
      <c r="D208" s="9">
        <v>15</v>
      </c>
      <c r="E208" s="8"/>
    </row>
    <row r="209" spans="1:5" ht="15.75" customHeight="1" x14ac:dyDescent="0.35">
      <c r="A209" s="10" t="s">
        <v>5368</v>
      </c>
      <c r="B209" s="10" t="s">
        <v>2462</v>
      </c>
      <c r="C209" s="10" t="s">
        <v>2463</v>
      </c>
      <c r="D209" s="11">
        <v>15</v>
      </c>
      <c r="E209" s="10"/>
    </row>
    <row r="210" spans="1:5" ht="15.75" customHeight="1" x14ac:dyDescent="0.35">
      <c r="A210" s="8" t="s">
        <v>5368</v>
      </c>
      <c r="B210" s="8" t="s">
        <v>2466</v>
      </c>
      <c r="C210" s="8" t="s">
        <v>2467</v>
      </c>
      <c r="D210" s="9">
        <v>15</v>
      </c>
      <c r="E210" s="8"/>
    </row>
    <row r="211" spans="1:5" ht="15.75" customHeight="1" x14ac:dyDescent="0.35">
      <c r="A211" s="10" t="s">
        <v>5368</v>
      </c>
      <c r="B211" s="10" t="s">
        <v>2470</v>
      </c>
      <c r="C211" s="10" t="s">
        <v>2471</v>
      </c>
      <c r="D211" s="11">
        <v>15</v>
      </c>
      <c r="E211" s="10"/>
    </row>
    <row r="212" spans="1:5" ht="15.75" customHeight="1" x14ac:dyDescent="0.35">
      <c r="A212" s="8" t="s">
        <v>5368</v>
      </c>
      <c r="B212" s="8" t="s">
        <v>2474</v>
      </c>
      <c r="C212" s="8" t="s">
        <v>2475</v>
      </c>
      <c r="D212" s="9">
        <v>148</v>
      </c>
      <c r="E212" s="8"/>
    </row>
    <row r="213" spans="1:5" ht="15.75" customHeight="1" x14ac:dyDescent="0.35">
      <c r="A213" s="10" t="s">
        <v>5369</v>
      </c>
      <c r="B213" s="10" t="s">
        <v>2478</v>
      </c>
      <c r="C213" s="10" t="s">
        <v>2479</v>
      </c>
      <c r="D213" s="11">
        <v>53</v>
      </c>
      <c r="E213" s="10"/>
    </row>
    <row r="214" spans="1:5" ht="15.75" customHeight="1" x14ac:dyDescent="0.35">
      <c r="A214" s="8" t="s">
        <v>5369</v>
      </c>
      <c r="B214" s="8" t="s">
        <v>2482</v>
      </c>
      <c r="C214" s="8" t="s">
        <v>2483</v>
      </c>
      <c r="D214" s="9">
        <v>60</v>
      </c>
      <c r="E214" s="8"/>
    </row>
    <row r="215" spans="1:5" ht="15.75" customHeight="1" x14ac:dyDescent="0.35">
      <c r="A215" s="10" t="s">
        <v>5369</v>
      </c>
      <c r="B215" s="10" t="s">
        <v>2486</v>
      </c>
      <c r="C215" s="10" t="s">
        <v>2487</v>
      </c>
      <c r="D215" s="11">
        <v>80</v>
      </c>
      <c r="E215" s="10"/>
    </row>
    <row r="216" spans="1:5" ht="15.75" customHeight="1" x14ac:dyDescent="0.35">
      <c r="A216" s="8" t="s">
        <v>5369</v>
      </c>
      <c r="B216" s="8" t="s">
        <v>2490</v>
      </c>
      <c r="C216" s="8" t="s">
        <v>2491</v>
      </c>
      <c r="D216" s="9">
        <v>29</v>
      </c>
      <c r="E216" s="8"/>
    </row>
    <row r="217" spans="1:5" ht="15.75" customHeight="1" x14ac:dyDescent="0.35">
      <c r="A217" s="10" t="s">
        <v>5370</v>
      </c>
      <c r="B217" s="10" t="s">
        <v>2494</v>
      </c>
      <c r="C217" s="10" t="s">
        <v>2495</v>
      </c>
      <c r="D217" s="11">
        <v>354</v>
      </c>
      <c r="E217" s="10"/>
    </row>
    <row r="218" spans="1:5" ht="15.75" customHeight="1" x14ac:dyDescent="0.35">
      <c r="A218" s="8" t="s">
        <v>5370</v>
      </c>
      <c r="B218" s="8" t="s">
        <v>2498</v>
      </c>
      <c r="C218" s="8" t="s">
        <v>2499</v>
      </c>
      <c r="D218" s="9">
        <v>714</v>
      </c>
      <c r="E218" s="8"/>
    </row>
    <row r="219" spans="1:5" ht="15.75" customHeight="1" x14ac:dyDescent="0.35">
      <c r="A219" s="10" t="s">
        <v>5370</v>
      </c>
      <c r="B219" s="10" t="s">
        <v>2502</v>
      </c>
      <c r="C219" s="10" t="s">
        <v>2503</v>
      </c>
      <c r="D219" s="11">
        <v>60</v>
      </c>
      <c r="E219" s="10"/>
    </row>
    <row r="220" spans="1:5" ht="15.75" customHeight="1" x14ac:dyDescent="0.35">
      <c r="A220" s="8" t="s">
        <v>5370</v>
      </c>
      <c r="B220" s="8" t="s">
        <v>2506</v>
      </c>
      <c r="C220" s="8" t="s">
        <v>2507</v>
      </c>
      <c r="D220" s="9">
        <v>60</v>
      </c>
      <c r="E220" s="8"/>
    </row>
    <row r="221" spans="1:5" ht="15.75" customHeight="1" x14ac:dyDescent="0.35">
      <c r="A221" s="10" t="s">
        <v>5370</v>
      </c>
      <c r="B221" s="10" t="s">
        <v>2510</v>
      </c>
      <c r="C221" s="10" t="s">
        <v>2511</v>
      </c>
      <c r="D221" s="11">
        <v>60</v>
      </c>
      <c r="E221" s="10"/>
    </row>
    <row r="222" spans="1:5" ht="15.75" customHeight="1" x14ac:dyDescent="0.35">
      <c r="A222" s="8" t="s">
        <v>5370</v>
      </c>
      <c r="B222" s="8" t="s">
        <v>2514</v>
      </c>
      <c r="C222" s="8" t="s">
        <v>2515</v>
      </c>
      <c r="D222" s="9">
        <v>60</v>
      </c>
      <c r="E222" s="8"/>
    </row>
    <row r="223" spans="1:5" ht="15.75" customHeight="1" x14ac:dyDescent="0.35">
      <c r="A223" s="10" t="s">
        <v>5370</v>
      </c>
      <c r="B223" s="10" t="s">
        <v>2518</v>
      </c>
      <c r="C223" s="10" t="s">
        <v>2519</v>
      </c>
      <c r="D223" s="11">
        <v>60</v>
      </c>
      <c r="E223" s="10"/>
    </row>
    <row r="224" spans="1:5" ht="15.75" customHeight="1" x14ac:dyDescent="0.35">
      <c r="A224" s="8" t="s">
        <v>5370</v>
      </c>
      <c r="B224" s="8" t="s">
        <v>2522</v>
      </c>
      <c r="C224" s="8" t="s">
        <v>2523</v>
      </c>
      <c r="D224" s="9">
        <v>380</v>
      </c>
      <c r="E224" s="8"/>
    </row>
    <row r="225" spans="1:5" ht="15.75" customHeight="1" x14ac:dyDescent="0.35">
      <c r="A225" s="10" t="s">
        <v>5371</v>
      </c>
      <c r="B225" s="10" t="s">
        <v>2526</v>
      </c>
      <c r="C225" s="10" t="s">
        <v>2527</v>
      </c>
      <c r="D225" s="11">
        <v>40</v>
      </c>
      <c r="E225" s="10"/>
    </row>
    <row r="226" spans="1:5" ht="15.75" customHeight="1" x14ac:dyDescent="0.35">
      <c r="A226" s="8" t="s">
        <v>5371</v>
      </c>
      <c r="B226" s="8" t="s">
        <v>2530</v>
      </c>
      <c r="C226" s="8" t="s">
        <v>2531</v>
      </c>
      <c r="D226" s="9">
        <v>42</v>
      </c>
      <c r="E226" s="8"/>
    </row>
    <row r="227" spans="1:5" ht="15.75" customHeight="1" x14ac:dyDescent="0.35">
      <c r="A227" s="10" t="s">
        <v>5371</v>
      </c>
      <c r="B227" s="10" t="s">
        <v>2534</v>
      </c>
      <c r="C227" s="10" t="s">
        <v>2535</v>
      </c>
      <c r="D227" s="11">
        <v>70</v>
      </c>
      <c r="E227" s="10"/>
    </row>
    <row r="228" spans="1:5" ht="15.75" customHeight="1" x14ac:dyDescent="0.35">
      <c r="A228" s="8" t="s">
        <v>5371</v>
      </c>
      <c r="B228" s="8" t="s">
        <v>2538</v>
      </c>
      <c r="C228" s="8" t="s">
        <v>2539</v>
      </c>
      <c r="D228" s="9">
        <v>110</v>
      </c>
      <c r="E228" s="8"/>
    </row>
    <row r="229" spans="1:5" ht="15.75" customHeight="1" x14ac:dyDescent="0.35">
      <c r="A229" s="10" t="s">
        <v>5371</v>
      </c>
      <c r="B229" s="10" t="s">
        <v>2542</v>
      </c>
      <c r="C229" s="10" t="s">
        <v>2543</v>
      </c>
      <c r="D229" s="11">
        <v>100</v>
      </c>
      <c r="E229" s="10"/>
    </row>
    <row r="230" spans="1:5" ht="15.75" customHeight="1" x14ac:dyDescent="0.35">
      <c r="A230" s="8" t="s">
        <v>5372</v>
      </c>
      <c r="B230" s="8" t="s">
        <v>2546</v>
      </c>
      <c r="C230" s="8" t="s">
        <v>2547</v>
      </c>
      <c r="D230" s="9">
        <v>65</v>
      </c>
      <c r="E230" s="8"/>
    </row>
    <row r="231" spans="1:5" ht="15.75" customHeight="1" x14ac:dyDescent="0.35">
      <c r="A231" s="10" t="s">
        <v>5372</v>
      </c>
      <c r="B231" s="10" t="s">
        <v>2550</v>
      </c>
      <c r="C231" s="10" t="s">
        <v>2551</v>
      </c>
      <c r="D231" s="11">
        <v>100</v>
      </c>
      <c r="E231" s="10"/>
    </row>
    <row r="232" spans="1:5" ht="15.75" customHeight="1" x14ac:dyDescent="0.35">
      <c r="A232" s="8" t="s">
        <v>5372</v>
      </c>
      <c r="B232" s="8" t="s">
        <v>2554</v>
      </c>
      <c r="C232" s="8" t="s">
        <v>2555</v>
      </c>
      <c r="D232" s="9">
        <v>70</v>
      </c>
      <c r="E232" s="8"/>
    </row>
    <row r="233" spans="1:5" ht="15.75" customHeight="1" x14ac:dyDescent="0.35">
      <c r="A233" s="10" t="s">
        <v>5372</v>
      </c>
      <c r="B233" s="10" t="s">
        <v>2558</v>
      </c>
      <c r="C233" s="10" t="s">
        <v>2559</v>
      </c>
      <c r="D233" s="11">
        <v>140</v>
      </c>
      <c r="E233" s="10"/>
    </row>
    <row r="234" spans="1:5" ht="15.75" customHeight="1" x14ac:dyDescent="0.35">
      <c r="A234" s="8" t="s">
        <v>5372</v>
      </c>
      <c r="B234" s="8" t="s">
        <v>2562</v>
      </c>
      <c r="C234" s="8" t="s">
        <v>2563</v>
      </c>
      <c r="D234" s="9">
        <v>185</v>
      </c>
      <c r="E234" s="8"/>
    </row>
    <row r="235" spans="1:5" ht="15.75" customHeight="1" x14ac:dyDescent="0.35">
      <c r="A235" s="10" t="s">
        <v>5372</v>
      </c>
      <c r="B235" s="10" t="s">
        <v>2566</v>
      </c>
      <c r="C235" s="10" t="s">
        <v>2567</v>
      </c>
      <c r="D235" s="11">
        <v>185</v>
      </c>
      <c r="E235" s="10"/>
    </row>
    <row r="236" spans="1:5" ht="15.75" customHeight="1" x14ac:dyDescent="0.35">
      <c r="A236" s="8" t="s">
        <v>5372</v>
      </c>
      <c r="B236" s="8" t="s">
        <v>2570</v>
      </c>
      <c r="C236" s="8" t="s">
        <v>2571</v>
      </c>
      <c r="D236" s="9">
        <v>198</v>
      </c>
      <c r="E236" s="8"/>
    </row>
    <row r="237" spans="1:5" ht="15.75" customHeight="1" x14ac:dyDescent="0.35">
      <c r="A237" s="10" t="s">
        <v>5372</v>
      </c>
      <c r="B237" s="10" t="s">
        <v>2574</v>
      </c>
      <c r="C237" s="10" t="s">
        <v>2575</v>
      </c>
      <c r="D237" s="11">
        <v>180</v>
      </c>
      <c r="E237" s="10"/>
    </row>
    <row r="238" spans="1:5" ht="15.75" customHeight="1" x14ac:dyDescent="0.35">
      <c r="A238" s="8" t="s">
        <v>5372</v>
      </c>
      <c r="B238" s="8" t="s">
        <v>2578</v>
      </c>
      <c r="C238" s="8" t="s">
        <v>2579</v>
      </c>
      <c r="D238" s="9">
        <v>91</v>
      </c>
      <c r="E238" s="8"/>
    </row>
    <row r="239" spans="1:5" ht="15.75" customHeight="1" x14ac:dyDescent="0.35">
      <c r="A239" s="10" t="s">
        <v>5373</v>
      </c>
      <c r="B239" s="10" t="s">
        <v>2582</v>
      </c>
      <c r="C239" s="10" t="s">
        <v>2583</v>
      </c>
      <c r="D239" s="11">
        <v>121</v>
      </c>
      <c r="E239" s="10"/>
    </row>
    <row r="240" spans="1:5" ht="15.75" customHeight="1" x14ac:dyDescent="0.35">
      <c r="A240" s="8" t="s">
        <v>5373</v>
      </c>
      <c r="B240" s="8" t="s">
        <v>2586</v>
      </c>
      <c r="C240" s="8" t="s">
        <v>2587</v>
      </c>
      <c r="D240" s="9">
        <v>226</v>
      </c>
      <c r="E240" s="8"/>
    </row>
    <row r="241" spans="1:5" ht="15.75" customHeight="1" x14ac:dyDescent="0.35">
      <c r="A241" s="10" t="s">
        <v>5373</v>
      </c>
      <c r="B241" s="10" t="s">
        <v>2590</v>
      </c>
      <c r="C241" s="10" t="s">
        <v>2591</v>
      </c>
      <c r="D241" s="11">
        <v>226</v>
      </c>
      <c r="E241" s="10"/>
    </row>
    <row r="242" spans="1:5" ht="15.75" customHeight="1" x14ac:dyDescent="0.35">
      <c r="A242" s="8" t="s">
        <v>5374</v>
      </c>
      <c r="B242" s="8" t="s">
        <v>2594</v>
      </c>
      <c r="C242" s="8" t="s">
        <v>2595</v>
      </c>
      <c r="D242" s="9">
        <v>221</v>
      </c>
      <c r="E242" s="8"/>
    </row>
    <row r="243" spans="1:5" ht="15.75" customHeight="1" x14ac:dyDescent="0.35">
      <c r="A243" s="10" t="s">
        <v>5374</v>
      </c>
      <c r="B243" s="10" t="s">
        <v>2598</v>
      </c>
      <c r="C243" s="10" t="s">
        <v>2599</v>
      </c>
      <c r="D243" s="11">
        <v>221</v>
      </c>
      <c r="E243" s="10"/>
    </row>
    <row r="244" spans="1:5" ht="15.75" customHeight="1" x14ac:dyDescent="0.35">
      <c r="A244" s="8" t="s">
        <v>5374</v>
      </c>
      <c r="B244" s="8" t="s">
        <v>2602</v>
      </c>
      <c r="C244" s="8" t="s">
        <v>2603</v>
      </c>
      <c r="D244" s="9">
        <v>248</v>
      </c>
      <c r="E244" s="8"/>
    </row>
    <row r="245" spans="1:5" ht="15.75" customHeight="1" x14ac:dyDescent="0.35">
      <c r="A245" s="10" t="s">
        <v>5374</v>
      </c>
      <c r="B245" s="10" t="s">
        <v>2606</v>
      </c>
      <c r="C245" s="10" t="s">
        <v>2607</v>
      </c>
      <c r="D245" s="11">
        <v>248</v>
      </c>
      <c r="E245" s="10"/>
    </row>
    <row r="246" spans="1:5" ht="15.75" customHeight="1" x14ac:dyDescent="0.35">
      <c r="A246" s="8" t="s">
        <v>5374</v>
      </c>
      <c r="B246" s="8" t="s">
        <v>2610</v>
      </c>
      <c r="C246" s="8" t="s">
        <v>2611</v>
      </c>
      <c r="D246" s="9">
        <v>248</v>
      </c>
      <c r="E246" s="8"/>
    </row>
    <row r="247" spans="1:5" ht="15.75" customHeight="1" x14ac:dyDescent="0.35">
      <c r="A247" s="10" t="s">
        <v>5375</v>
      </c>
      <c r="B247" s="10" t="s">
        <v>2614</v>
      </c>
      <c r="C247" s="10" t="s">
        <v>2615</v>
      </c>
      <c r="D247" s="11">
        <v>280</v>
      </c>
      <c r="E247" s="10"/>
    </row>
    <row r="248" spans="1:5" ht="15.75" customHeight="1" x14ac:dyDescent="0.35">
      <c r="A248" s="8" t="s">
        <v>5375</v>
      </c>
      <c r="B248" s="8" t="s">
        <v>2618</v>
      </c>
      <c r="C248" s="8" t="s">
        <v>2619</v>
      </c>
      <c r="D248" s="9">
        <v>291</v>
      </c>
      <c r="E248" s="8"/>
    </row>
    <row r="249" spans="1:5" ht="15.75" customHeight="1" x14ac:dyDescent="0.35">
      <c r="A249" s="10" t="s">
        <v>5266</v>
      </c>
      <c r="B249" s="10" t="s">
        <v>2622</v>
      </c>
      <c r="C249" s="10" t="s">
        <v>2623</v>
      </c>
      <c r="D249" s="11">
        <v>143</v>
      </c>
      <c r="E249" s="10"/>
    </row>
    <row r="250" spans="1:5" ht="15.75" customHeight="1" x14ac:dyDescent="0.35">
      <c r="A250" s="8" t="s">
        <v>5266</v>
      </c>
      <c r="B250" s="8" t="s">
        <v>2626</v>
      </c>
      <c r="C250" s="8" t="s">
        <v>2627</v>
      </c>
      <c r="D250" s="9">
        <v>146</v>
      </c>
      <c r="E250" s="8"/>
    </row>
    <row r="251" spans="1:5" ht="15.75" customHeight="1" x14ac:dyDescent="0.35">
      <c r="A251" s="10" t="s">
        <v>5266</v>
      </c>
      <c r="B251" s="10" t="s">
        <v>2630</v>
      </c>
      <c r="C251" s="10" t="s">
        <v>2631</v>
      </c>
      <c r="D251" s="11">
        <v>154</v>
      </c>
      <c r="E251" s="10"/>
    </row>
    <row r="252" spans="1:5" ht="15.75" customHeight="1" x14ac:dyDescent="0.35">
      <c r="A252" s="8" t="s">
        <v>5266</v>
      </c>
      <c r="B252" s="8" t="s">
        <v>2634</v>
      </c>
      <c r="C252" s="8" t="s">
        <v>2635</v>
      </c>
      <c r="D252" s="9">
        <v>148</v>
      </c>
      <c r="E252" s="8"/>
    </row>
    <row r="253" spans="1:5" ht="15.75" customHeight="1" x14ac:dyDescent="0.35">
      <c r="A253" s="10" t="s">
        <v>5266</v>
      </c>
      <c r="B253" s="10" t="s">
        <v>2638</v>
      </c>
      <c r="C253" s="10" t="s">
        <v>2639</v>
      </c>
      <c r="D253" s="11">
        <v>162</v>
      </c>
      <c r="E253" s="10"/>
    </row>
    <row r="254" spans="1:5" ht="15.75" customHeight="1" x14ac:dyDescent="0.35">
      <c r="A254" s="8" t="s">
        <v>5266</v>
      </c>
      <c r="B254" s="8" t="s">
        <v>2642</v>
      </c>
      <c r="C254" s="8" t="s">
        <v>2643</v>
      </c>
      <c r="D254" s="9">
        <v>152</v>
      </c>
      <c r="E254" s="8"/>
    </row>
    <row r="255" spans="1:5" ht="15.75" customHeight="1" x14ac:dyDescent="0.35">
      <c r="A255" s="10" t="s">
        <v>5266</v>
      </c>
      <c r="B255" s="10" t="s">
        <v>2646</v>
      </c>
      <c r="C255" s="10" t="s">
        <v>2647</v>
      </c>
      <c r="D255" s="11">
        <v>218</v>
      </c>
      <c r="E255" s="10"/>
    </row>
    <row r="256" spans="1:5" ht="15.75" customHeight="1" x14ac:dyDescent="0.35">
      <c r="A256" s="8" t="s">
        <v>5266</v>
      </c>
      <c r="B256" s="8" t="s">
        <v>2650</v>
      </c>
      <c r="C256" s="8" t="s">
        <v>2651</v>
      </c>
      <c r="D256" s="9">
        <v>247</v>
      </c>
      <c r="E256" s="8"/>
    </row>
    <row r="257" spans="1:5" ht="15.75" customHeight="1" x14ac:dyDescent="0.35">
      <c r="A257" s="10" t="s">
        <v>5266</v>
      </c>
      <c r="B257" s="10" t="s">
        <v>2654</v>
      </c>
      <c r="C257" s="10" t="s">
        <v>2655</v>
      </c>
      <c r="D257" s="11">
        <v>212</v>
      </c>
      <c r="E257" s="10"/>
    </row>
    <row r="258" spans="1:5" ht="15.75" customHeight="1" x14ac:dyDescent="0.35">
      <c r="A258" s="8" t="s">
        <v>5266</v>
      </c>
      <c r="B258" s="8" t="s">
        <v>2658</v>
      </c>
      <c r="C258" s="8" t="s">
        <v>2659</v>
      </c>
      <c r="D258" s="9">
        <v>245</v>
      </c>
      <c r="E258" s="8"/>
    </row>
    <row r="259" spans="1:5" ht="15.75" customHeight="1" x14ac:dyDescent="0.35">
      <c r="A259" s="10" t="s">
        <v>5266</v>
      </c>
      <c r="B259" s="10" t="s">
        <v>2662</v>
      </c>
      <c r="C259" s="10" t="s">
        <v>2663</v>
      </c>
      <c r="D259" s="11">
        <v>263</v>
      </c>
      <c r="E259" s="10"/>
    </row>
    <row r="260" spans="1:5" ht="15.75" customHeight="1" x14ac:dyDescent="0.35">
      <c r="A260" s="8" t="s">
        <v>5266</v>
      </c>
      <c r="B260" s="8" t="s">
        <v>2666</v>
      </c>
      <c r="C260" s="8" t="s">
        <v>2667</v>
      </c>
      <c r="D260" s="9">
        <v>303</v>
      </c>
      <c r="E260" s="8"/>
    </row>
    <row r="261" spans="1:5" ht="15.75" customHeight="1" x14ac:dyDescent="0.35">
      <c r="A261" s="10" t="s">
        <v>5266</v>
      </c>
      <c r="B261" s="10" t="s">
        <v>2670</v>
      </c>
      <c r="C261" s="10" t="s">
        <v>2671</v>
      </c>
      <c r="D261" s="11">
        <v>491</v>
      </c>
      <c r="E261" s="10"/>
    </row>
    <row r="262" spans="1:5" ht="15.75" customHeight="1" x14ac:dyDescent="0.35">
      <c r="A262" s="8" t="s">
        <v>5266</v>
      </c>
      <c r="B262" s="8" t="s">
        <v>2674</v>
      </c>
      <c r="C262" s="8" t="s">
        <v>2675</v>
      </c>
      <c r="D262" s="9">
        <v>33</v>
      </c>
      <c r="E262" s="8"/>
    </row>
    <row r="263" spans="1:5" ht="15.75" customHeight="1" x14ac:dyDescent="0.35">
      <c r="A263" s="10" t="s">
        <v>5266</v>
      </c>
      <c r="B263" s="10" t="s">
        <v>2678</v>
      </c>
      <c r="C263" s="10" t="s">
        <v>2679</v>
      </c>
      <c r="D263" s="11">
        <v>67</v>
      </c>
      <c r="E263" s="10"/>
    </row>
    <row r="264" spans="1:5" ht="15.75" customHeight="1" x14ac:dyDescent="0.35">
      <c r="A264" s="8" t="s">
        <v>5266</v>
      </c>
      <c r="B264" s="8" t="s">
        <v>2682</v>
      </c>
      <c r="C264" s="8" t="s">
        <v>2683</v>
      </c>
      <c r="D264" s="9">
        <v>67</v>
      </c>
      <c r="E264" s="8"/>
    </row>
    <row r="265" spans="1:5" ht="15.75" customHeight="1" x14ac:dyDescent="0.35">
      <c r="A265" s="10" t="s">
        <v>5233</v>
      </c>
      <c r="B265" s="10" t="s">
        <v>2686</v>
      </c>
      <c r="C265" s="10" t="s">
        <v>2687</v>
      </c>
      <c r="D265" s="11">
        <v>28</v>
      </c>
      <c r="E265" s="10"/>
    </row>
    <row r="266" spans="1:5" ht="15.75" customHeight="1" x14ac:dyDescent="0.35">
      <c r="A266" s="8" t="s">
        <v>5233</v>
      </c>
      <c r="B266" s="8" t="s">
        <v>2690</v>
      </c>
      <c r="C266" s="8" t="s">
        <v>2691</v>
      </c>
      <c r="D266" s="9">
        <v>39</v>
      </c>
      <c r="E266" s="8"/>
    </row>
    <row r="267" spans="1:5" ht="15.75" customHeight="1" x14ac:dyDescent="0.35">
      <c r="A267" s="10" t="s">
        <v>5233</v>
      </c>
      <c r="B267" s="10" t="s">
        <v>2694</v>
      </c>
      <c r="C267" s="10" t="s">
        <v>2695</v>
      </c>
      <c r="D267" s="11">
        <v>33</v>
      </c>
      <c r="E267" s="10"/>
    </row>
    <row r="268" spans="1:5" ht="15.75" customHeight="1" x14ac:dyDescent="0.35">
      <c r="A268" s="8" t="s">
        <v>5233</v>
      </c>
      <c r="B268" s="8" t="s">
        <v>2698</v>
      </c>
      <c r="C268" s="8" t="s">
        <v>2699</v>
      </c>
      <c r="D268" s="9">
        <v>93</v>
      </c>
      <c r="E268" s="8"/>
    </row>
    <row r="269" spans="1:5" ht="15.75" customHeight="1" x14ac:dyDescent="0.35">
      <c r="A269" s="10" t="s">
        <v>5233</v>
      </c>
      <c r="B269" s="10" t="s">
        <v>2702</v>
      </c>
      <c r="C269" s="10" t="s">
        <v>2703</v>
      </c>
      <c r="D269" s="11">
        <v>107</v>
      </c>
      <c r="E269" s="10"/>
    </row>
    <row r="270" spans="1:5" ht="15.75" customHeight="1" x14ac:dyDescent="0.35">
      <c r="A270" s="8" t="s">
        <v>5233</v>
      </c>
      <c r="B270" s="8" t="s">
        <v>2706</v>
      </c>
      <c r="C270" s="8" t="s">
        <v>2707</v>
      </c>
      <c r="D270" s="9">
        <v>158</v>
      </c>
      <c r="E270" s="8"/>
    </row>
    <row r="271" spans="1:5" ht="15.75" customHeight="1" x14ac:dyDescent="0.35">
      <c r="A271" s="10" t="s">
        <v>5233</v>
      </c>
      <c r="B271" s="10" t="s">
        <v>2710</v>
      </c>
      <c r="C271" s="10" t="s">
        <v>2711</v>
      </c>
      <c r="D271" s="11">
        <v>206</v>
      </c>
      <c r="E271" s="10"/>
    </row>
    <row r="272" spans="1:5" ht="15.75" customHeight="1" x14ac:dyDescent="0.35">
      <c r="A272" s="8" t="s">
        <v>5233</v>
      </c>
      <c r="B272" s="8" t="s">
        <v>2714</v>
      </c>
      <c r="C272" s="8" t="s">
        <v>2715</v>
      </c>
      <c r="D272" s="9">
        <v>290</v>
      </c>
      <c r="E272" s="8"/>
    </row>
    <row r="273" spans="1:5" ht="15.75" customHeight="1" x14ac:dyDescent="0.35">
      <c r="A273" s="10" t="s">
        <v>5233</v>
      </c>
      <c r="B273" s="10" t="s">
        <v>2718</v>
      </c>
      <c r="C273" s="10" t="s">
        <v>2719</v>
      </c>
      <c r="D273" s="11">
        <v>422</v>
      </c>
      <c r="E273" s="10"/>
    </row>
    <row r="274" spans="1:5" ht="15.75" customHeight="1" x14ac:dyDescent="0.35">
      <c r="A274" s="8" t="s">
        <v>5233</v>
      </c>
      <c r="B274" s="8" t="s">
        <v>2722</v>
      </c>
      <c r="C274" s="8" t="s">
        <v>2723</v>
      </c>
      <c r="D274" s="9">
        <v>375</v>
      </c>
      <c r="E274" s="8"/>
    </row>
    <row r="275" spans="1:5" ht="15.75" customHeight="1" x14ac:dyDescent="0.35">
      <c r="A275" s="10" t="s">
        <v>5233</v>
      </c>
      <c r="B275" s="10" t="s">
        <v>2726</v>
      </c>
      <c r="C275" s="10" t="s">
        <v>2727</v>
      </c>
      <c r="D275" s="11">
        <v>400</v>
      </c>
      <c r="E275" s="10"/>
    </row>
    <row r="276" spans="1:5" ht="15.75" customHeight="1" x14ac:dyDescent="0.35">
      <c r="A276" s="8" t="s">
        <v>5233</v>
      </c>
      <c r="B276" s="8" t="s">
        <v>2730</v>
      </c>
      <c r="C276" s="8" t="s">
        <v>2731</v>
      </c>
      <c r="D276" s="9">
        <v>576</v>
      </c>
      <c r="E276" s="8"/>
    </row>
    <row r="277" spans="1:5" ht="15.75" customHeight="1" x14ac:dyDescent="0.35">
      <c r="A277" s="10" t="s">
        <v>5233</v>
      </c>
      <c r="B277" s="10" t="s">
        <v>2734</v>
      </c>
      <c r="C277" s="10" t="s">
        <v>2735</v>
      </c>
      <c r="D277" s="11">
        <v>670</v>
      </c>
      <c r="E277" s="10"/>
    </row>
    <row r="278" spans="1:5" ht="15.75" customHeight="1" x14ac:dyDescent="0.35">
      <c r="A278" s="8" t="s">
        <v>5233</v>
      </c>
      <c r="B278" s="8" t="s">
        <v>2738</v>
      </c>
      <c r="C278" s="8" t="s">
        <v>2739</v>
      </c>
      <c r="D278" s="9">
        <v>788</v>
      </c>
      <c r="E278" s="8"/>
    </row>
    <row r="279" spans="1:5" ht="15.75" customHeight="1" x14ac:dyDescent="0.35">
      <c r="A279" s="10" t="s">
        <v>5233</v>
      </c>
      <c r="B279" s="10" t="s">
        <v>2742</v>
      </c>
      <c r="C279" s="10" t="s">
        <v>2743</v>
      </c>
      <c r="D279" s="11">
        <v>1284</v>
      </c>
      <c r="E279" s="10"/>
    </row>
    <row r="280" spans="1:5" ht="15.75" customHeight="1" x14ac:dyDescent="0.35">
      <c r="A280" s="8" t="s">
        <v>5233</v>
      </c>
      <c r="B280" s="8" t="s">
        <v>2746</v>
      </c>
      <c r="C280" s="8" t="s">
        <v>2747</v>
      </c>
      <c r="D280" s="9">
        <v>1308</v>
      </c>
      <c r="E280" s="8"/>
    </row>
    <row r="281" spans="1:5" ht="15.75" customHeight="1" x14ac:dyDescent="0.35">
      <c r="A281" s="10" t="s">
        <v>5233</v>
      </c>
      <c r="B281" s="10" t="s">
        <v>2750</v>
      </c>
      <c r="C281" s="10" t="s">
        <v>2751</v>
      </c>
      <c r="D281" s="11">
        <v>1357</v>
      </c>
      <c r="E281" s="10"/>
    </row>
    <row r="282" spans="1:5" ht="15.75" customHeight="1" x14ac:dyDescent="0.35">
      <c r="A282" s="8" t="s">
        <v>5232</v>
      </c>
      <c r="B282" s="8" t="s">
        <v>2754</v>
      </c>
      <c r="C282" s="8" t="s">
        <v>2755</v>
      </c>
      <c r="D282" s="9">
        <v>320</v>
      </c>
      <c r="E282" s="8"/>
    </row>
    <row r="283" spans="1:5" ht="15.75" customHeight="1" x14ac:dyDescent="0.35">
      <c r="A283" s="10" t="s">
        <v>5232</v>
      </c>
      <c r="B283" s="10" t="s">
        <v>2758</v>
      </c>
      <c r="C283" s="10" t="s">
        <v>2759</v>
      </c>
      <c r="D283" s="11">
        <v>320</v>
      </c>
      <c r="E283" s="10"/>
    </row>
    <row r="284" spans="1:5" ht="15.75" customHeight="1" x14ac:dyDescent="0.35">
      <c r="A284" s="8" t="s">
        <v>5232</v>
      </c>
      <c r="B284" s="8" t="s">
        <v>2762</v>
      </c>
      <c r="C284" s="8" t="s">
        <v>2763</v>
      </c>
      <c r="D284" s="9">
        <v>670</v>
      </c>
      <c r="E284" s="8"/>
    </row>
    <row r="285" spans="1:5" ht="15.75" customHeight="1" x14ac:dyDescent="0.35">
      <c r="A285" s="10" t="s">
        <v>5232</v>
      </c>
      <c r="B285" s="10" t="s">
        <v>2766</v>
      </c>
      <c r="C285" s="10" t="s">
        <v>2767</v>
      </c>
      <c r="D285" s="11">
        <v>760</v>
      </c>
      <c r="E285" s="10"/>
    </row>
    <row r="286" spans="1:5" ht="15.75" customHeight="1" x14ac:dyDescent="0.35">
      <c r="A286" s="8" t="s">
        <v>5232</v>
      </c>
      <c r="B286" s="8" t="s">
        <v>2770</v>
      </c>
      <c r="C286" s="8" t="s">
        <v>2771</v>
      </c>
      <c r="D286" s="9">
        <v>823</v>
      </c>
      <c r="E286" s="8"/>
    </row>
    <row r="287" spans="1:5" ht="15.75" customHeight="1" x14ac:dyDescent="0.35">
      <c r="A287" s="10" t="s">
        <v>5232</v>
      </c>
      <c r="B287" s="10" t="s">
        <v>2774</v>
      </c>
      <c r="C287" s="10" t="s">
        <v>2775</v>
      </c>
      <c r="D287" s="11">
        <v>1333</v>
      </c>
      <c r="E287" s="10"/>
    </row>
    <row r="288" spans="1:5" ht="15.75" customHeight="1" x14ac:dyDescent="0.35">
      <c r="A288" s="8" t="s">
        <v>5232</v>
      </c>
      <c r="B288" s="8" t="s">
        <v>2778</v>
      </c>
      <c r="C288" s="8" t="s">
        <v>2779</v>
      </c>
      <c r="D288" s="9">
        <v>1100</v>
      </c>
      <c r="E288" s="8"/>
    </row>
    <row r="289" spans="1:5" ht="15.75" customHeight="1" x14ac:dyDescent="0.35">
      <c r="A289" s="10" t="s">
        <v>5232</v>
      </c>
      <c r="B289" s="10" t="s">
        <v>2782</v>
      </c>
      <c r="C289" s="10" t="s">
        <v>2783</v>
      </c>
      <c r="D289" s="11">
        <v>1653</v>
      </c>
      <c r="E289" s="10"/>
    </row>
    <row r="290" spans="1:5" ht="15.75" customHeight="1" x14ac:dyDescent="0.35">
      <c r="A290" s="8" t="s">
        <v>5232</v>
      </c>
      <c r="B290" s="8" t="s">
        <v>2786</v>
      </c>
      <c r="C290" s="8" t="s">
        <v>2787</v>
      </c>
      <c r="D290" s="9">
        <v>452</v>
      </c>
      <c r="E290" s="8"/>
    </row>
    <row r="291" spans="1:5" ht="15.75" customHeight="1" x14ac:dyDescent="0.35">
      <c r="A291" s="10" t="s">
        <v>5232</v>
      </c>
      <c r="B291" s="10" t="s">
        <v>2790</v>
      </c>
      <c r="C291" s="10" t="s">
        <v>2791</v>
      </c>
      <c r="D291" s="11">
        <v>583</v>
      </c>
      <c r="E291" s="10"/>
    </row>
    <row r="292" spans="1:5" ht="15.75" customHeight="1" x14ac:dyDescent="0.35">
      <c r="A292" s="8" t="s">
        <v>5232</v>
      </c>
      <c r="B292" s="8" t="s">
        <v>2794</v>
      </c>
      <c r="C292" s="8" t="s">
        <v>2795</v>
      </c>
      <c r="D292" s="9">
        <v>1003</v>
      </c>
      <c r="E292" s="8"/>
    </row>
    <row r="293" spans="1:5" ht="15.75" customHeight="1" x14ac:dyDescent="0.35">
      <c r="A293" s="10" t="s">
        <v>5232</v>
      </c>
      <c r="B293" s="10" t="s">
        <v>2798</v>
      </c>
      <c r="C293" s="10" t="s">
        <v>2799</v>
      </c>
      <c r="D293" s="11">
        <v>686</v>
      </c>
      <c r="E293" s="10"/>
    </row>
    <row r="294" spans="1:5" ht="15.75" customHeight="1" x14ac:dyDescent="0.35">
      <c r="A294" s="8" t="s">
        <v>5376</v>
      </c>
      <c r="B294" s="8" t="s">
        <v>2802</v>
      </c>
      <c r="C294" s="8" t="s">
        <v>2803</v>
      </c>
      <c r="D294" s="9">
        <v>40</v>
      </c>
      <c r="E294" s="8"/>
    </row>
    <row r="295" spans="1:5" ht="15.75" customHeight="1" x14ac:dyDescent="0.35">
      <c r="A295" s="10" t="s">
        <v>5376</v>
      </c>
      <c r="B295" s="10" t="s">
        <v>2806</v>
      </c>
      <c r="C295" s="10" t="s">
        <v>2807</v>
      </c>
      <c r="D295" s="11">
        <v>14</v>
      </c>
      <c r="E295" s="10"/>
    </row>
    <row r="296" spans="1:5" ht="15.75" customHeight="1" x14ac:dyDescent="0.35">
      <c r="A296" s="8" t="s">
        <v>5376</v>
      </c>
      <c r="B296" s="8" t="s">
        <v>2810</v>
      </c>
      <c r="C296" s="8" t="s">
        <v>2811</v>
      </c>
      <c r="D296" s="9">
        <v>20</v>
      </c>
      <c r="E296" s="8"/>
    </row>
    <row r="297" spans="1:5" ht="15.75" customHeight="1" x14ac:dyDescent="0.35">
      <c r="A297" s="10" t="s">
        <v>5376</v>
      </c>
      <c r="B297" s="10" t="s">
        <v>2814</v>
      </c>
      <c r="C297" s="10" t="s">
        <v>2815</v>
      </c>
      <c r="D297" s="11">
        <v>136</v>
      </c>
      <c r="E297" s="10"/>
    </row>
    <row r="298" spans="1:5" ht="15.75" customHeight="1" x14ac:dyDescent="0.35">
      <c r="A298" s="8" t="s">
        <v>5376</v>
      </c>
      <c r="B298" s="8" t="s">
        <v>2818</v>
      </c>
      <c r="C298" s="8" t="s">
        <v>2819</v>
      </c>
      <c r="D298" s="9">
        <v>148</v>
      </c>
      <c r="E298" s="8"/>
    </row>
    <row r="299" spans="1:5" ht="15.75" customHeight="1" x14ac:dyDescent="0.35">
      <c r="A299" s="10" t="s">
        <v>5376</v>
      </c>
      <c r="B299" s="10" t="s">
        <v>2822</v>
      </c>
      <c r="C299" s="10" t="s">
        <v>2823</v>
      </c>
      <c r="D299" s="11">
        <v>182</v>
      </c>
      <c r="E299" s="10"/>
    </row>
    <row r="300" spans="1:5" ht="15.75" customHeight="1" x14ac:dyDescent="0.35">
      <c r="A300" s="8" t="s">
        <v>5376</v>
      </c>
      <c r="B300" s="8" t="s">
        <v>2826</v>
      </c>
      <c r="C300" s="8" t="s">
        <v>2827</v>
      </c>
      <c r="D300" s="9">
        <v>43</v>
      </c>
      <c r="E300" s="8"/>
    </row>
    <row r="301" spans="1:5" ht="15.75" customHeight="1" x14ac:dyDescent="0.35">
      <c r="A301" s="10" t="s">
        <v>5376</v>
      </c>
      <c r="B301" s="10" t="s">
        <v>2830</v>
      </c>
      <c r="C301" s="10" t="s">
        <v>2831</v>
      </c>
      <c r="D301" s="11">
        <v>61</v>
      </c>
      <c r="E301" s="10"/>
    </row>
    <row r="302" spans="1:5" ht="15.75" customHeight="1" x14ac:dyDescent="0.35">
      <c r="A302" s="8" t="s">
        <v>5377</v>
      </c>
      <c r="B302" s="8" t="s">
        <v>2834</v>
      </c>
      <c r="C302" s="8" t="s">
        <v>2835</v>
      </c>
      <c r="D302" s="9">
        <v>125</v>
      </c>
      <c r="E302" s="8"/>
    </row>
    <row r="303" spans="1:5" ht="15.75" customHeight="1" x14ac:dyDescent="0.35">
      <c r="A303" s="10" t="s">
        <v>5377</v>
      </c>
      <c r="B303" s="10" t="s">
        <v>2838</v>
      </c>
      <c r="C303" s="10" t="s">
        <v>2839</v>
      </c>
      <c r="D303" s="11">
        <v>66</v>
      </c>
      <c r="E303" s="10"/>
    </row>
    <row r="304" spans="1:5" ht="15.75" customHeight="1" x14ac:dyDescent="0.35">
      <c r="A304" s="8" t="s">
        <v>5377</v>
      </c>
      <c r="B304" s="8" t="s">
        <v>2842</v>
      </c>
      <c r="C304" s="8" t="s">
        <v>2843</v>
      </c>
      <c r="D304" s="9">
        <v>91</v>
      </c>
      <c r="E304" s="8"/>
    </row>
    <row r="305" spans="1:5" ht="15.75" customHeight="1" x14ac:dyDescent="0.35">
      <c r="A305" s="10" t="s">
        <v>5377</v>
      </c>
      <c r="B305" s="10" t="s">
        <v>2846</v>
      </c>
      <c r="C305" s="10" t="s">
        <v>2847</v>
      </c>
      <c r="D305" s="11">
        <v>91</v>
      </c>
      <c r="E305" s="10"/>
    </row>
    <row r="306" spans="1:5" ht="15.75" customHeight="1" x14ac:dyDescent="0.35">
      <c r="A306" s="8" t="s">
        <v>5377</v>
      </c>
      <c r="B306" s="8" t="s">
        <v>2850</v>
      </c>
      <c r="C306" s="8" t="s">
        <v>2851</v>
      </c>
      <c r="D306" s="9">
        <v>65</v>
      </c>
      <c r="E306" s="8"/>
    </row>
    <row r="307" spans="1:5" ht="15.75" customHeight="1" x14ac:dyDescent="0.35">
      <c r="A307" s="10" t="s">
        <v>5377</v>
      </c>
      <c r="B307" s="10" t="s">
        <v>2854</v>
      </c>
      <c r="C307" s="10" t="s">
        <v>2855</v>
      </c>
      <c r="D307" s="11">
        <v>2585</v>
      </c>
      <c r="E307" s="1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2"/>
  <sheetViews>
    <sheetView zoomScaleNormal="100" workbookViewId="0"/>
  </sheetViews>
  <sheetFormatPr defaultColWidth="8.6328125" defaultRowHeight="14.5" x14ac:dyDescent="0.35"/>
  <cols>
    <col min="1" max="1" width="26" style="6" customWidth="1"/>
    <col min="2" max="2" width="22" style="6" customWidth="1"/>
    <col min="3" max="3" width="38" style="6" customWidth="1"/>
    <col min="4" max="5" width="18" style="6" customWidth="1"/>
    <col min="6" max="6" width="42" style="6" customWidth="1"/>
  </cols>
  <sheetData>
    <row r="1" spans="1:6" ht="30" customHeight="1" x14ac:dyDescent="0.35">
      <c r="A1" s="75" t="s">
        <v>5378</v>
      </c>
      <c r="B1" s="75"/>
      <c r="C1" s="75"/>
      <c r="D1" s="75"/>
      <c r="E1" s="75"/>
      <c r="F1" s="75"/>
    </row>
    <row r="2" spans="1:6" ht="15.75" customHeight="1" x14ac:dyDescent="0.35">
      <c r="A2" s="66" t="s">
        <v>5379</v>
      </c>
      <c r="B2" s="66"/>
      <c r="C2" s="66"/>
      <c r="D2" s="66"/>
      <c r="E2" s="66"/>
      <c r="F2" s="66"/>
    </row>
    <row r="3" spans="1:6" ht="19.5" customHeight="1" x14ac:dyDescent="0.35">
      <c r="A3" s="76" t="s">
        <v>5380</v>
      </c>
      <c r="B3" s="76"/>
      <c r="C3" s="76"/>
      <c r="D3" s="76"/>
      <c r="E3" s="76"/>
      <c r="F3" s="76"/>
    </row>
    <row r="4" spans="1:6" ht="27.75" customHeight="1" x14ac:dyDescent="0.35">
      <c r="A4" s="19" t="s">
        <v>5178</v>
      </c>
      <c r="B4" s="19" t="s">
        <v>5381</v>
      </c>
      <c r="C4" s="19" t="s">
        <v>15</v>
      </c>
      <c r="D4" s="19" t="s">
        <v>5382</v>
      </c>
      <c r="E4" s="19" t="s">
        <v>5383</v>
      </c>
      <c r="F4" s="19" t="s">
        <v>5181</v>
      </c>
    </row>
    <row r="5" spans="1:6" ht="15.75" customHeight="1" x14ac:dyDescent="0.35">
      <c r="A5" s="10" t="s">
        <v>5384</v>
      </c>
      <c r="B5" s="10" t="s">
        <v>5385</v>
      </c>
      <c r="C5" s="10" t="s">
        <v>5386</v>
      </c>
      <c r="D5" s="11">
        <v>55</v>
      </c>
      <c r="E5" s="11">
        <v>120</v>
      </c>
      <c r="F5" s="10"/>
    </row>
    <row r="6" spans="1:6" ht="15.75" customHeight="1" x14ac:dyDescent="0.35">
      <c r="A6" s="8" t="s">
        <v>5384</v>
      </c>
      <c r="B6" s="8" t="s">
        <v>5385</v>
      </c>
      <c r="C6" s="8" t="s">
        <v>5387</v>
      </c>
      <c r="D6" s="9">
        <v>55</v>
      </c>
      <c r="E6" s="9">
        <v>120</v>
      </c>
      <c r="F6" s="8"/>
    </row>
    <row r="7" spans="1:6" ht="15.75" customHeight="1" x14ac:dyDescent="0.35">
      <c r="A7" s="10" t="s">
        <v>5384</v>
      </c>
      <c r="B7" s="10" t="s">
        <v>5385</v>
      </c>
      <c r="C7" s="10" t="s">
        <v>5388</v>
      </c>
      <c r="D7" s="11">
        <v>110</v>
      </c>
      <c r="E7" s="11">
        <v>190</v>
      </c>
      <c r="F7" s="10"/>
    </row>
    <row r="8" spans="1:6" ht="15.75" customHeight="1" x14ac:dyDescent="0.35">
      <c r="A8" s="8" t="s">
        <v>5384</v>
      </c>
      <c r="B8" s="8" t="s">
        <v>5385</v>
      </c>
      <c r="C8" s="8" t="s">
        <v>5389</v>
      </c>
      <c r="D8" s="9">
        <v>110</v>
      </c>
      <c r="E8" s="9">
        <v>380</v>
      </c>
      <c r="F8" s="8"/>
    </row>
    <row r="9" spans="1:6" ht="15.75" customHeight="1" x14ac:dyDescent="0.35">
      <c r="A9" s="10" t="s">
        <v>5384</v>
      </c>
      <c r="B9" s="10" t="s">
        <v>5390</v>
      </c>
      <c r="C9" s="10" t="s">
        <v>5391</v>
      </c>
      <c r="D9" s="11">
        <v>130</v>
      </c>
      <c r="E9" s="11">
        <v>310</v>
      </c>
      <c r="F9" s="10"/>
    </row>
    <row r="10" spans="1:6" ht="15.75" customHeight="1" x14ac:dyDescent="0.35">
      <c r="A10" s="8" t="s">
        <v>5392</v>
      </c>
      <c r="B10" s="8" t="s">
        <v>5385</v>
      </c>
      <c r="C10" s="8" t="s">
        <v>5393</v>
      </c>
      <c r="D10" s="9">
        <v>55</v>
      </c>
      <c r="E10" s="9">
        <v>120</v>
      </c>
      <c r="F10" s="8"/>
    </row>
    <row r="11" spans="1:6" ht="15.75" customHeight="1" x14ac:dyDescent="0.35">
      <c r="A11" s="10" t="s">
        <v>5392</v>
      </c>
      <c r="B11" s="10" t="s">
        <v>5385</v>
      </c>
      <c r="C11" s="10" t="s">
        <v>5394</v>
      </c>
      <c r="D11" s="11">
        <v>55</v>
      </c>
      <c r="E11" s="11">
        <v>120</v>
      </c>
      <c r="F11" s="10"/>
    </row>
    <row r="12" spans="1:6" ht="15.75" customHeight="1" x14ac:dyDescent="0.35">
      <c r="A12" s="8" t="s">
        <v>5392</v>
      </c>
      <c r="B12" s="8" t="s">
        <v>5385</v>
      </c>
      <c r="C12" s="8" t="s">
        <v>5395</v>
      </c>
      <c r="D12" s="9">
        <v>55</v>
      </c>
      <c r="E12" s="9">
        <v>120</v>
      </c>
      <c r="F12" s="8"/>
    </row>
    <row r="13" spans="1:6" ht="15.75" customHeight="1" x14ac:dyDescent="0.35">
      <c r="A13" s="10" t="s">
        <v>5392</v>
      </c>
      <c r="B13" s="10" t="s">
        <v>5385</v>
      </c>
      <c r="C13" s="10" t="s">
        <v>5396</v>
      </c>
      <c r="D13" s="11">
        <v>55</v>
      </c>
      <c r="E13" s="11">
        <v>120</v>
      </c>
      <c r="F13" s="10"/>
    </row>
    <row r="14" spans="1:6" ht="15.75" customHeight="1" x14ac:dyDescent="0.35">
      <c r="A14" s="8" t="s">
        <v>5392</v>
      </c>
      <c r="B14" s="8" t="s">
        <v>5385</v>
      </c>
      <c r="C14" s="8" t="s">
        <v>5397</v>
      </c>
      <c r="D14" s="9">
        <v>90</v>
      </c>
      <c r="E14" s="9">
        <v>150</v>
      </c>
      <c r="F14" s="8"/>
    </row>
    <row r="15" spans="1:6" ht="15.75" customHeight="1" x14ac:dyDescent="0.35">
      <c r="A15" s="10" t="s">
        <v>5392</v>
      </c>
      <c r="B15" s="10" t="s">
        <v>5385</v>
      </c>
      <c r="C15" s="10" t="s">
        <v>5398</v>
      </c>
      <c r="D15" s="11">
        <v>80</v>
      </c>
      <c r="E15" s="11">
        <v>240</v>
      </c>
      <c r="F15" s="10"/>
    </row>
    <row r="16" spans="1:6" ht="15.75" customHeight="1" x14ac:dyDescent="0.35">
      <c r="A16" s="8" t="s">
        <v>5392</v>
      </c>
      <c r="B16" s="8" t="s">
        <v>5385</v>
      </c>
      <c r="C16" s="8" t="s">
        <v>5399</v>
      </c>
      <c r="D16" s="9">
        <v>80</v>
      </c>
      <c r="E16" s="9">
        <v>240</v>
      </c>
      <c r="F16" s="8"/>
    </row>
    <row r="17" spans="1:6" ht="15.75" customHeight="1" x14ac:dyDescent="0.35">
      <c r="A17" s="10" t="s">
        <v>5392</v>
      </c>
      <c r="B17" s="10" t="s">
        <v>5385</v>
      </c>
      <c r="C17" s="10" t="s">
        <v>5400</v>
      </c>
      <c r="D17" s="11">
        <v>90</v>
      </c>
      <c r="E17" s="11">
        <v>280</v>
      </c>
      <c r="F17" s="10"/>
    </row>
    <row r="18" spans="1:6" ht="15.75" customHeight="1" x14ac:dyDescent="0.35">
      <c r="A18" s="8" t="s">
        <v>5392</v>
      </c>
      <c r="B18" s="8" t="s">
        <v>5385</v>
      </c>
      <c r="C18" s="8" t="s">
        <v>5401</v>
      </c>
      <c r="D18" s="9">
        <v>105</v>
      </c>
      <c r="E18" s="9">
        <v>320</v>
      </c>
      <c r="F18" s="8"/>
    </row>
    <row r="19" spans="1:6" ht="15.75" customHeight="1" x14ac:dyDescent="0.35">
      <c r="A19" s="10" t="s">
        <v>5392</v>
      </c>
      <c r="B19" s="10" t="s">
        <v>5385</v>
      </c>
      <c r="C19" s="10" t="s">
        <v>5402</v>
      </c>
      <c r="D19" s="11">
        <v>140</v>
      </c>
      <c r="E19" s="11">
        <v>520</v>
      </c>
      <c r="F19" s="10"/>
    </row>
    <row r="20" spans="1:6" ht="15.75" customHeight="1" x14ac:dyDescent="0.35">
      <c r="A20" s="8" t="s">
        <v>5392</v>
      </c>
      <c r="B20" s="8" t="s">
        <v>5403</v>
      </c>
      <c r="C20" s="8" t="s">
        <v>5404</v>
      </c>
      <c r="D20" s="9">
        <v>130</v>
      </c>
      <c r="E20" s="9">
        <v>430</v>
      </c>
      <c r="F20" s="8"/>
    </row>
    <row r="21" spans="1:6" ht="15.75" customHeight="1" x14ac:dyDescent="0.35">
      <c r="A21" s="10" t="s">
        <v>5392</v>
      </c>
      <c r="B21" s="10" t="s">
        <v>5403</v>
      </c>
      <c r="C21" s="10" t="s">
        <v>5405</v>
      </c>
      <c r="D21" s="11">
        <v>200</v>
      </c>
      <c r="E21" s="11">
        <v>600</v>
      </c>
      <c r="F21" s="10"/>
    </row>
    <row r="22" spans="1:6" ht="15.75" customHeight="1" x14ac:dyDescent="0.35">
      <c r="A22" s="8" t="s">
        <v>5392</v>
      </c>
      <c r="B22" s="8" t="s">
        <v>5403</v>
      </c>
      <c r="C22" s="8" t="s">
        <v>5406</v>
      </c>
      <c r="D22" s="9">
        <v>260</v>
      </c>
      <c r="E22" s="9">
        <v>750</v>
      </c>
      <c r="F22" s="8"/>
    </row>
    <row r="23" spans="1:6" ht="15.75" customHeight="1" x14ac:dyDescent="0.35">
      <c r="A23" s="10" t="s">
        <v>5392</v>
      </c>
      <c r="B23" s="10" t="s">
        <v>5407</v>
      </c>
      <c r="C23" s="10" t="s">
        <v>5408</v>
      </c>
      <c r="D23" s="11">
        <v>330</v>
      </c>
      <c r="E23" s="11">
        <v>1150</v>
      </c>
      <c r="F23" s="10"/>
    </row>
    <row r="24" spans="1:6" ht="15.75" customHeight="1" x14ac:dyDescent="0.35">
      <c r="A24" s="8" t="s">
        <v>5409</v>
      </c>
      <c r="B24" s="8" t="s">
        <v>5410</v>
      </c>
      <c r="C24" s="8" t="s">
        <v>5411</v>
      </c>
      <c r="D24" s="9">
        <v>170</v>
      </c>
      <c r="E24" s="9">
        <v>600</v>
      </c>
      <c r="F24" s="8"/>
    </row>
    <row r="25" spans="1:6" ht="15.75" customHeight="1" x14ac:dyDescent="0.35">
      <c r="A25" s="10" t="s">
        <v>5409</v>
      </c>
      <c r="B25" s="10" t="s">
        <v>5410</v>
      </c>
      <c r="C25" s="10" t="s">
        <v>5412</v>
      </c>
      <c r="D25" s="11">
        <v>190</v>
      </c>
      <c r="E25" s="11">
        <v>650</v>
      </c>
      <c r="F25" s="10"/>
    </row>
    <row r="26" spans="1:6" ht="15.75" customHeight="1" x14ac:dyDescent="0.35">
      <c r="A26" s="8" t="s">
        <v>5409</v>
      </c>
      <c r="B26" s="8" t="s">
        <v>5413</v>
      </c>
      <c r="C26" s="8" t="s">
        <v>5414</v>
      </c>
      <c r="D26" s="9">
        <v>170</v>
      </c>
      <c r="E26" s="9">
        <v>600</v>
      </c>
      <c r="F26" s="8"/>
    </row>
    <row r="27" spans="1:6" ht="15.75" customHeight="1" x14ac:dyDescent="0.35">
      <c r="A27" s="10" t="s">
        <v>5409</v>
      </c>
      <c r="B27" s="10" t="s">
        <v>5413</v>
      </c>
      <c r="C27" s="10" t="s">
        <v>5415</v>
      </c>
      <c r="D27" s="11">
        <v>190</v>
      </c>
      <c r="E27" s="11">
        <v>650</v>
      </c>
      <c r="F27" s="10"/>
    </row>
    <row r="28" spans="1:6" ht="15.75" customHeight="1" x14ac:dyDescent="0.35">
      <c r="A28" s="8" t="s">
        <v>5409</v>
      </c>
      <c r="B28" s="8" t="s">
        <v>5413</v>
      </c>
      <c r="C28" s="8" t="s">
        <v>5416</v>
      </c>
      <c r="D28" s="9">
        <v>250</v>
      </c>
      <c r="E28" s="9">
        <v>760</v>
      </c>
      <c r="F28" s="8"/>
    </row>
    <row r="29" spans="1:6" ht="15.75" customHeight="1" x14ac:dyDescent="0.35">
      <c r="A29" s="10" t="s">
        <v>5409</v>
      </c>
      <c r="B29" s="10" t="s">
        <v>5413</v>
      </c>
      <c r="C29" s="10" t="s">
        <v>5417</v>
      </c>
      <c r="D29" s="11">
        <v>220</v>
      </c>
      <c r="E29" s="11">
        <v>800</v>
      </c>
      <c r="F29" s="10"/>
    </row>
    <row r="30" spans="1:6" ht="15.75" customHeight="1" x14ac:dyDescent="0.35">
      <c r="A30" s="8" t="s">
        <v>5409</v>
      </c>
      <c r="B30" s="8" t="s">
        <v>5413</v>
      </c>
      <c r="C30" s="8" t="s">
        <v>5418</v>
      </c>
      <c r="D30" s="9">
        <v>300</v>
      </c>
      <c r="E30" s="9">
        <v>1150</v>
      </c>
      <c r="F30" s="8"/>
    </row>
    <row r="31" spans="1:6" ht="15.75" customHeight="1" x14ac:dyDescent="0.35">
      <c r="A31" s="10" t="s">
        <v>5409</v>
      </c>
      <c r="B31" s="10" t="s">
        <v>5413</v>
      </c>
      <c r="C31" s="10" t="s">
        <v>5419</v>
      </c>
      <c r="D31" s="11">
        <v>1300</v>
      </c>
      <c r="E31" s="11">
        <v>3900</v>
      </c>
      <c r="F31" s="10"/>
    </row>
    <row r="32" spans="1:6" ht="15.75" customHeight="1" x14ac:dyDescent="0.35">
      <c r="A32" s="8" t="s">
        <v>5409</v>
      </c>
      <c r="B32" s="8" t="s">
        <v>5420</v>
      </c>
      <c r="C32" s="8" t="s">
        <v>5421</v>
      </c>
      <c r="D32" s="9">
        <v>190</v>
      </c>
      <c r="E32" s="9">
        <v>650</v>
      </c>
      <c r="F32" s="8"/>
    </row>
    <row r="33" spans="1:6" ht="15.75" customHeight="1" x14ac:dyDescent="0.35">
      <c r="A33" s="10" t="s">
        <v>5409</v>
      </c>
      <c r="B33" s="10" t="s">
        <v>5420</v>
      </c>
      <c r="C33" s="10" t="s">
        <v>5422</v>
      </c>
      <c r="D33" s="11">
        <v>220</v>
      </c>
      <c r="E33" s="11">
        <v>800</v>
      </c>
      <c r="F33" s="10"/>
    </row>
    <row r="34" spans="1:6" ht="15.75" customHeight="1" x14ac:dyDescent="0.35">
      <c r="A34" s="8" t="s">
        <v>5409</v>
      </c>
      <c r="B34" s="8" t="s">
        <v>5420</v>
      </c>
      <c r="C34" s="8" t="s">
        <v>5423</v>
      </c>
      <c r="D34" s="9">
        <v>300</v>
      </c>
      <c r="E34" s="9">
        <v>1150</v>
      </c>
      <c r="F34" s="8"/>
    </row>
    <row r="35" spans="1:6" ht="15.75" customHeight="1" x14ac:dyDescent="0.35">
      <c r="A35" s="10" t="s">
        <v>5409</v>
      </c>
      <c r="B35" s="10" t="s">
        <v>5420</v>
      </c>
      <c r="C35" s="10" t="s">
        <v>5424</v>
      </c>
      <c r="D35" s="11">
        <v>1300</v>
      </c>
      <c r="E35" s="11">
        <v>3900</v>
      </c>
      <c r="F35" s="10"/>
    </row>
    <row r="36" spans="1:6" ht="15.75" customHeight="1" x14ac:dyDescent="0.35">
      <c r="A36" s="8" t="s">
        <v>5409</v>
      </c>
      <c r="B36" s="8" t="s">
        <v>5425</v>
      </c>
      <c r="C36" s="8" t="s">
        <v>5426</v>
      </c>
      <c r="D36" s="9">
        <v>320</v>
      </c>
      <c r="E36" s="9">
        <v>825</v>
      </c>
      <c r="F36" s="8"/>
    </row>
    <row r="37" spans="1:6" ht="15.75" customHeight="1" x14ac:dyDescent="0.35">
      <c r="A37" s="10" t="s">
        <v>5409</v>
      </c>
      <c r="B37" s="10" t="s">
        <v>5425</v>
      </c>
      <c r="C37" s="10" t="s">
        <v>5427</v>
      </c>
      <c r="D37" s="11">
        <v>400</v>
      </c>
      <c r="E37" s="11">
        <v>1300</v>
      </c>
      <c r="F37" s="10"/>
    </row>
    <row r="38" spans="1:6" ht="15.75" customHeight="1" x14ac:dyDescent="0.35">
      <c r="A38" s="8" t="s">
        <v>5428</v>
      </c>
      <c r="B38" s="8" t="s">
        <v>5385</v>
      </c>
      <c r="C38" s="8" t="s">
        <v>5429</v>
      </c>
      <c r="D38" s="9">
        <v>120</v>
      </c>
      <c r="E38" s="9">
        <v>235</v>
      </c>
      <c r="F38" s="8"/>
    </row>
    <row r="39" spans="1:6" ht="15.75" customHeight="1" x14ac:dyDescent="0.35">
      <c r="A39" s="10" t="s">
        <v>5428</v>
      </c>
      <c r="B39" s="10" t="s">
        <v>5430</v>
      </c>
      <c r="C39" s="10" t="s">
        <v>5431</v>
      </c>
      <c r="D39" s="11">
        <v>120</v>
      </c>
      <c r="E39" s="11">
        <v>235</v>
      </c>
      <c r="F39" s="10"/>
    </row>
    <row r="40" spans="1:6" ht="15.75" customHeight="1" x14ac:dyDescent="0.35">
      <c r="A40" s="8" t="s">
        <v>5428</v>
      </c>
      <c r="B40" s="8" t="s">
        <v>5430</v>
      </c>
      <c r="C40" s="8" t="s">
        <v>5432</v>
      </c>
      <c r="D40" s="9">
        <v>150</v>
      </c>
      <c r="E40" s="9">
        <v>285</v>
      </c>
      <c r="F40" s="8"/>
    </row>
    <row r="41" spans="1:6" ht="15.75" customHeight="1" x14ac:dyDescent="0.35">
      <c r="A41" s="10" t="s">
        <v>5428</v>
      </c>
      <c r="B41" s="10" t="s">
        <v>5430</v>
      </c>
      <c r="C41" s="10" t="s">
        <v>5433</v>
      </c>
      <c r="D41" s="11">
        <v>300</v>
      </c>
      <c r="E41" s="11">
        <v>700</v>
      </c>
      <c r="F41" s="10"/>
    </row>
    <row r="42" spans="1:6" ht="15.75" customHeight="1" x14ac:dyDescent="0.35">
      <c r="A42" s="8" t="s">
        <v>5428</v>
      </c>
      <c r="B42" s="8" t="s">
        <v>5430</v>
      </c>
      <c r="C42" s="8" t="s">
        <v>5434</v>
      </c>
      <c r="D42" s="9">
        <v>350</v>
      </c>
      <c r="E42" s="9">
        <v>850</v>
      </c>
      <c r="F42" s="8"/>
    </row>
    <row r="43" spans="1:6" ht="15.75" customHeight="1" x14ac:dyDescent="0.35">
      <c r="A43" s="10" t="s">
        <v>5428</v>
      </c>
      <c r="B43" s="10" t="s">
        <v>5430</v>
      </c>
      <c r="C43" s="10" t="s">
        <v>5435</v>
      </c>
      <c r="D43" s="11">
        <v>420</v>
      </c>
      <c r="E43" s="11">
        <v>1100</v>
      </c>
      <c r="F43" s="10"/>
    </row>
    <row r="44" spans="1:6" ht="15.75" customHeight="1" x14ac:dyDescent="0.35">
      <c r="A44" s="8" t="s">
        <v>5428</v>
      </c>
      <c r="B44" s="8" t="s">
        <v>5430</v>
      </c>
      <c r="C44" s="8" t="s">
        <v>5436</v>
      </c>
      <c r="D44" s="9">
        <v>480</v>
      </c>
      <c r="E44" s="9">
        <v>1400</v>
      </c>
      <c r="F44" s="8"/>
    </row>
    <row r="45" spans="1:6" ht="15.75" customHeight="1" x14ac:dyDescent="0.35">
      <c r="A45" s="10" t="s">
        <v>5437</v>
      </c>
      <c r="B45" s="10"/>
      <c r="C45" s="10" t="s">
        <v>5067</v>
      </c>
      <c r="D45" s="11">
        <v>2.5</v>
      </c>
      <c r="E45" s="11">
        <v>5</v>
      </c>
      <c r="F45" s="10"/>
    </row>
    <row r="46" spans="1:6" ht="15.75" customHeight="1" x14ac:dyDescent="0.35">
      <c r="A46" s="8" t="s">
        <v>5437</v>
      </c>
      <c r="B46" s="8"/>
      <c r="C46" s="8" t="s">
        <v>5071</v>
      </c>
      <c r="D46" s="9">
        <v>8</v>
      </c>
      <c r="E46" s="9">
        <v>20</v>
      </c>
      <c r="F46" s="8"/>
    </row>
    <row r="47" spans="1:6" ht="15.75" customHeight="1" x14ac:dyDescent="0.35">
      <c r="A47" s="10" t="s">
        <v>5437</v>
      </c>
      <c r="B47" s="10"/>
      <c r="C47" s="10" t="s">
        <v>5075</v>
      </c>
      <c r="D47" s="11">
        <v>8</v>
      </c>
      <c r="E47" s="11">
        <v>20</v>
      </c>
      <c r="F47" s="10"/>
    </row>
    <row r="48" spans="1:6" ht="15.75" customHeight="1" x14ac:dyDescent="0.35">
      <c r="A48" s="8" t="s">
        <v>5437</v>
      </c>
      <c r="B48" s="8"/>
      <c r="C48" s="8" t="s">
        <v>5079</v>
      </c>
      <c r="D48" s="9">
        <v>15</v>
      </c>
      <c r="E48" s="9">
        <v>35</v>
      </c>
      <c r="F48" s="8"/>
    </row>
    <row r="49" spans="1:6" ht="15.75" customHeight="1" x14ac:dyDescent="0.35">
      <c r="A49" s="10" t="s">
        <v>5437</v>
      </c>
      <c r="B49" s="10"/>
      <c r="C49" s="10" t="s">
        <v>5083</v>
      </c>
      <c r="D49" s="11">
        <v>30</v>
      </c>
      <c r="E49" s="11">
        <v>75</v>
      </c>
      <c r="F49" s="10"/>
    </row>
    <row r="50" spans="1:6" ht="15.75" customHeight="1" x14ac:dyDescent="0.35">
      <c r="A50" s="8" t="s">
        <v>5437</v>
      </c>
      <c r="B50" s="8"/>
      <c r="C50" s="8" t="s">
        <v>5087</v>
      </c>
      <c r="D50" s="9">
        <v>30</v>
      </c>
      <c r="E50" s="9">
        <v>75</v>
      </c>
      <c r="F50" s="8"/>
    </row>
    <row r="51" spans="1:6" ht="15.75" customHeight="1" x14ac:dyDescent="0.35">
      <c r="A51" s="10" t="s">
        <v>5437</v>
      </c>
      <c r="B51" s="10"/>
      <c r="C51" s="10" t="s">
        <v>5091</v>
      </c>
      <c r="D51" s="11">
        <v>20</v>
      </c>
      <c r="E51" s="11">
        <v>55</v>
      </c>
      <c r="F51" s="10"/>
    </row>
    <row r="52" spans="1:6" ht="15.75" customHeight="1" x14ac:dyDescent="0.35">
      <c r="A52" s="8" t="s">
        <v>5437</v>
      </c>
      <c r="B52" s="8"/>
      <c r="C52" s="8" t="s">
        <v>5095</v>
      </c>
      <c r="D52" s="9">
        <v>35</v>
      </c>
      <c r="E52" s="9">
        <v>85</v>
      </c>
      <c r="F52" s="8"/>
    </row>
    <row r="53" spans="1:6" ht="15.75" customHeight="1" x14ac:dyDescent="0.35">
      <c r="A53" s="10" t="s">
        <v>5437</v>
      </c>
      <c r="B53" s="10"/>
      <c r="C53" s="10" t="s">
        <v>5099</v>
      </c>
      <c r="D53" s="11">
        <v>25</v>
      </c>
      <c r="E53" s="11">
        <v>65</v>
      </c>
      <c r="F53" s="10"/>
    </row>
    <row r="54" spans="1:6" ht="15.75" customHeight="1" x14ac:dyDescent="0.35">
      <c r="A54" s="8" t="s">
        <v>5438</v>
      </c>
      <c r="B54" s="8" t="s">
        <v>5439</v>
      </c>
      <c r="C54" s="8" t="s">
        <v>5440</v>
      </c>
      <c r="D54" s="18" t="s">
        <v>5441</v>
      </c>
      <c r="E54" s="20" t="s">
        <v>5442</v>
      </c>
      <c r="F54" s="8" t="s">
        <v>5443</v>
      </c>
    </row>
    <row r="55" spans="1:6" ht="7.5" customHeight="1" x14ac:dyDescent="0.35"/>
    <row r="56" spans="1:6" ht="18" customHeight="1" x14ac:dyDescent="0.35">
      <c r="A56" s="77" t="s">
        <v>5444</v>
      </c>
      <c r="B56" s="77"/>
      <c r="C56" s="77"/>
      <c r="D56" s="77"/>
      <c r="E56" s="77"/>
      <c r="F56" s="77"/>
    </row>
    <row r="57" spans="1:6" ht="27.75" customHeight="1" x14ac:dyDescent="0.35">
      <c r="A57" s="19" t="s">
        <v>5445</v>
      </c>
      <c r="B57" s="19"/>
      <c r="C57" s="19" t="s">
        <v>15</v>
      </c>
      <c r="D57" s="19" t="s">
        <v>5446</v>
      </c>
      <c r="E57" s="19"/>
      <c r="F57" s="19" t="s">
        <v>5181</v>
      </c>
    </row>
    <row r="58" spans="1:6" ht="15.75" customHeight="1" x14ac:dyDescent="0.35">
      <c r="A58" s="71" t="s">
        <v>5384</v>
      </c>
      <c r="B58" s="71"/>
      <c r="C58" s="71"/>
      <c r="D58" s="9">
        <v>170</v>
      </c>
      <c r="E58" s="72" t="s">
        <v>5447</v>
      </c>
      <c r="F58" s="72"/>
    </row>
    <row r="59" spans="1:6" ht="15.75" customHeight="1" x14ac:dyDescent="0.35">
      <c r="A59" s="73" t="s">
        <v>5448</v>
      </c>
      <c r="B59" s="73"/>
      <c r="C59" s="73"/>
      <c r="D59" s="11">
        <v>170</v>
      </c>
      <c r="E59" s="74" t="s">
        <v>5447</v>
      </c>
      <c r="F59" s="74"/>
    </row>
    <row r="60" spans="1:6" ht="15.75" customHeight="1" x14ac:dyDescent="0.35">
      <c r="A60" s="71" t="s">
        <v>5449</v>
      </c>
      <c r="B60" s="71"/>
      <c r="C60" s="71"/>
      <c r="D60" s="9">
        <v>185</v>
      </c>
      <c r="E60" s="72"/>
      <c r="F60" s="72"/>
    </row>
    <row r="61" spans="1:6" ht="15.75" customHeight="1" x14ac:dyDescent="0.35">
      <c r="A61" s="73" t="s">
        <v>5450</v>
      </c>
      <c r="B61" s="73"/>
      <c r="C61" s="73"/>
      <c r="D61" s="11">
        <v>200</v>
      </c>
      <c r="E61" s="74"/>
      <c r="F61" s="74"/>
    </row>
    <row r="62" spans="1:6" ht="15.75" customHeight="1" x14ac:dyDescent="0.35">
      <c r="A62" s="71" t="s">
        <v>5451</v>
      </c>
      <c r="B62" s="71"/>
      <c r="C62" s="71"/>
      <c r="D62" s="9">
        <v>215</v>
      </c>
      <c r="E62" s="72"/>
      <c r="F62" s="72"/>
    </row>
    <row r="63" spans="1:6" ht="15.75" customHeight="1" x14ac:dyDescent="0.35">
      <c r="A63" s="73" t="s">
        <v>5452</v>
      </c>
      <c r="B63" s="73"/>
      <c r="C63" s="73"/>
      <c r="D63" s="11">
        <v>215</v>
      </c>
      <c r="E63" s="74"/>
      <c r="F63" s="74"/>
    </row>
    <row r="64" spans="1:6" ht="15.75" customHeight="1" x14ac:dyDescent="0.35">
      <c r="A64" s="71" t="s">
        <v>5453</v>
      </c>
      <c r="B64" s="71"/>
      <c r="C64" s="71"/>
      <c r="D64" s="9">
        <v>250</v>
      </c>
      <c r="E64" s="72"/>
      <c r="F64" s="72"/>
    </row>
    <row r="65" spans="1:6" ht="15.75" customHeight="1" x14ac:dyDescent="0.35">
      <c r="A65" s="73" t="s">
        <v>5454</v>
      </c>
      <c r="B65" s="73"/>
      <c r="C65" s="73"/>
      <c r="D65" s="11">
        <v>245</v>
      </c>
      <c r="E65" s="74"/>
      <c r="F65" s="74"/>
    </row>
    <row r="66" spans="1:6" ht="15.75" customHeight="1" x14ac:dyDescent="0.35">
      <c r="A66" s="71" t="s">
        <v>5455</v>
      </c>
      <c r="B66" s="71"/>
      <c r="C66" s="71"/>
      <c r="D66" s="9">
        <v>265</v>
      </c>
      <c r="E66" s="72"/>
      <c r="F66" s="72"/>
    </row>
    <row r="67" spans="1:6" ht="15.75" customHeight="1" x14ac:dyDescent="0.35">
      <c r="A67" s="73" t="s">
        <v>5456</v>
      </c>
      <c r="B67" s="73"/>
      <c r="C67" s="73"/>
      <c r="D67" s="11">
        <v>225</v>
      </c>
      <c r="E67" s="74"/>
      <c r="F67" s="74"/>
    </row>
    <row r="68" spans="1:6" ht="15.75" customHeight="1" x14ac:dyDescent="0.35">
      <c r="A68" s="71" t="s">
        <v>5457</v>
      </c>
      <c r="B68" s="71"/>
      <c r="C68" s="71"/>
      <c r="D68" s="9">
        <v>250</v>
      </c>
      <c r="E68" s="72"/>
      <c r="F68" s="72"/>
    </row>
    <row r="69" spans="1:6" ht="15.75" customHeight="1" x14ac:dyDescent="0.35">
      <c r="A69" s="73" t="s">
        <v>5458</v>
      </c>
      <c r="B69" s="73"/>
      <c r="C69" s="73"/>
      <c r="D69" s="11">
        <v>275</v>
      </c>
      <c r="E69" s="74"/>
      <c r="F69" s="74"/>
    </row>
    <row r="70" spans="1:6" ht="15.75" customHeight="1" x14ac:dyDescent="0.35">
      <c r="A70" s="71" t="s">
        <v>5459</v>
      </c>
      <c r="B70" s="71"/>
      <c r="C70" s="71"/>
      <c r="D70" s="9">
        <v>370</v>
      </c>
      <c r="E70" s="72"/>
      <c r="F70" s="72"/>
    </row>
    <row r="71" spans="1:6" ht="15.75" customHeight="1" x14ac:dyDescent="0.35">
      <c r="A71" s="73" t="s">
        <v>5460</v>
      </c>
      <c r="B71" s="73"/>
      <c r="C71" s="73"/>
      <c r="D71" s="11">
        <v>440</v>
      </c>
      <c r="E71" s="74"/>
      <c r="F71" s="74"/>
    </row>
    <row r="72" spans="1:6" ht="15.75" customHeight="1" x14ac:dyDescent="0.35">
      <c r="A72" s="71" t="s">
        <v>5461</v>
      </c>
      <c r="B72" s="71"/>
      <c r="C72" s="71"/>
      <c r="D72" s="9">
        <v>510</v>
      </c>
      <c r="E72" s="72"/>
      <c r="F72" s="72"/>
    </row>
    <row r="73" spans="1:6" ht="15.75" customHeight="1" x14ac:dyDescent="0.35">
      <c r="A73" s="73" t="s">
        <v>5462</v>
      </c>
      <c r="B73" s="73"/>
      <c r="C73" s="73"/>
      <c r="D73" s="11">
        <v>570</v>
      </c>
      <c r="E73" s="74"/>
      <c r="F73" s="74"/>
    </row>
    <row r="74" spans="1:6" ht="15.75" customHeight="1" x14ac:dyDescent="0.35">
      <c r="A74" s="71" t="s">
        <v>5463</v>
      </c>
      <c r="B74" s="71"/>
      <c r="C74" s="71"/>
      <c r="D74" s="18" t="s">
        <v>5303</v>
      </c>
      <c r="E74" s="72" t="s">
        <v>5303</v>
      </c>
      <c r="F74" s="72"/>
    </row>
    <row r="75" spans="1:6" ht="15.75" customHeight="1" x14ac:dyDescent="0.35">
      <c r="A75" s="73" t="s">
        <v>5464</v>
      </c>
      <c r="B75" s="73"/>
      <c r="C75" s="73"/>
      <c r="D75" s="11">
        <v>220</v>
      </c>
      <c r="E75" s="74"/>
      <c r="F75" s="74"/>
    </row>
    <row r="76" spans="1:6" ht="15.75" customHeight="1" x14ac:dyDescent="0.35">
      <c r="A76" s="71" t="s">
        <v>5465</v>
      </c>
      <c r="B76" s="71"/>
      <c r="C76" s="71"/>
      <c r="D76" s="9">
        <v>260</v>
      </c>
      <c r="E76" s="72"/>
      <c r="F76" s="72"/>
    </row>
    <row r="77" spans="1:6" ht="15.75" customHeight="1" x14ac:dyDescent="0.35">
      <c r="A77" s="73" t="s">
        <v>5466</v>
      </c>
      <c r="B77" s="73"/>
      <c r="C77" s="73"/>
      <c r="D77" s="11">
        <v>280</v>
      </c>
      <c r="E77" s="74"/>
      <c r="F77" s="74"/>
    </row>
    <row r="78" spans="1:6" ht="15.75" customHeight="1" x14ac:dyDescent="0.35">
      <c r="A78" s="71" t="s">
        <v>5467</v>
      </c>
      <c r="B78" s="71"/>
      <c r="C78" s="71"/>
      <c r="D78" s="9">
        <v>315</v>
      </c>
      <c r="E78" s="72"/>
      <c r="F78" s="72"/>
    </row>
    <row r="79" spans="1:6" ht="15.75" customHeight="1" x14ac:dyDescent="0.35">
      <c r="A79" s="73" t="s">
        <v>5468</v>
      </c>
      <c r="B79" s="73"/>
      <c r="C79" s="73"/>
      <c r="D79" s="11">
        <v>370</v>
      </c>
      <c r="E79" s="74"/>
      <c r="F79" s="74"/>
    </row>
    <row r="80" spans="1:6" ht="15.75" customHeight="1" x14ac:dyDescent="0.35">
      <c r="A80" s="71" t="s">
        <v>5469</v>
      </c>
      <c r="B80" s="71"/>
      <c r="C80" s="71"/>
      <c r="D80" s="9">
        <v>200</v>
      </c>
      <c r="E80" s="72"/>
      <c r="F80" s="72"/>
    </row>
    <row r="81" spans="1:6" ht="15.75" customHeight="1" x14ac:dyDescent="0.35">
      <c r="A81" s="73" t="s">
        <v>5437</v>
      </c>
      <c r="B81" s="73"/>
      <c r="C81" s="73"/>
      <c r="D81" s="11">
        <v>170</v>
      </c>
      <c r="E81" s="74"/>
      <c r="F81" s="74"/>
    </row>
    <row r="82" spans="1:6" ht="15.75" customHeight="1" x14ac:dyDescent="0.35">
      <c r="A82" s="71" t="s">
        <v>5438</v>
      </c>
      <c r="B82" s="71"/>
      <c r="C82" s="71"/>
      <c r="D82" s="9">
        <v>170</v>
      </c>
      <c r="E82" s="72"/>
      <c r="F82" s="72"/>
    </row>
  </sheetData>
  <mergeCells count="54">
    <mergeCell ref="A1:F1"/>
    <mergeCell ref="A2:F2"/>
    <mergeCell ref="A3:F3"/>
    <mergeCell ref="A56:F56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7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6" style="6" customWidth="1"/>
    <col min="2" max="2" width="22" style="6" customWidth="1"/>
    <col min="3" max="3" width="62" style="6" customWidth="1"/>
    <col min="4" max="5" width="18" style="6" customWidth="1"/>
  </cols>
  <sheetData>
    <row r="1" spans="1:5" ht="30" customHeight="1" x14ac:dyDescent="0.35">
      <c r="A1" s="78" t="s">
        <v>5470</v>
      </c>
      <c r="B1" s="78"/>
      <c r="C1" s="78"/>
      <c r="D1" s="78"/>
      <c r="E1" s="78"/>
    </row>
    <row r="2" spans="1:5" ht="15.75" customHeight="1" x14ac:dyDescent="0.35">
      <c r="A2" s="66" t="s">
        <v>5471</v>
      </c>
      <c r="B2" s="66"/>
      <c r="C2" s="66"/>
      <c r="D2" s="66"/>
      <c r="E2" s="66"/>
    </row>
    <row r="3" spans="1:5" ht="27.75" customHeight="1" x14ac:dyDescent="0.35">
      <c r="A3" s="21" t="s">
        <v>5178</v>
      </c>
      <c r="B3" s="21" t="s">
        <v>5179</v>
      </c>
      <c r="C3" s="21" t="s">
        <v>15</v>
      </c>
      <c r="D3" s="21" t="s">
        <v>5307</v>
      </c>
      <c r="E3" s="21" t="s">
        <v>5181</v>
      </c>
    </row>
    <row r="4" spans="1:5" ht="15" customHeight="1" x14ac:dyDescent="0.35">
      <c r="A4" s="22" t="s">
        <v>5472</v>
      </c>
      <c r="B4" s="22" t="s">
        <v>2859</v>
      </c>
      <c r="C4" s="22" t="s">
        <v>2860</v>
      </c>
      <c r="D4" s="23">
        <v>37</v>
      </c>
      <c r="E4" s="22"/>
    </row>
    <row r="5" spans="1:5" ht="15" customHeight="1" x14ac:dyDescent="0.35">
      <c r="A5" s="24" t="s">
        <v>5472</v>
      </c>
      <c r="B5" s="24" t="s">
        <v>2863</v>
      </c>
      <c r="C5" s="24" t="s">
        <v>2864</v>
      </c>
      <c r="D5" s="25">
        <v>689.01</v>
      </c>
      <c r="E5" s="24"/>
    </row>
    <row r="6" spans="1:5" ht="15" customHeight="1" x14ac:dyDescent="0.35">
      <c r="A6" s="22" t="s">
        <v>5472</v>
      </c>
      <c r="B6" s="22" t="s">
        <v>2867</v>
      </c>
      <c r="C6" s="22" t="s">
        <v>2868</v>
      </c>
      <c r="D6" s="23">
        <v>103.35</v>
      </c>
      <c r="E6" s="22"/>
    </row>
    <row r="7" spans="1:5" ht="15" customHeight="1" x14ac:dyDescent="0.35">
      <c r="A7" s="24" t="s">
        <v>5472</v>
      </c>
      <c r="B7" s="24" t="s">
        <v>2871</v>
      </c>
      <c r="C7" s="24" t="s">
        <v>2872</v>
      </c>
      <c r="D7" s="25">
        <v>826.8</v>
      </c>
      <c r="E7" s="24"/>
    </row>
    <row r="8" spans="1:5" ht="15" customHeight="1" x14ac:dyDescent="0.35">
      <c r="A8" s="22" t="s">
        <v>5472</v>
      </c>
      <c r="B8" s="22" t="s">
        <v>2875</v>
      </c>
      <c r="C8" s="22" t="s">
        <v>2876</v>
      </c>
      <c r="D8" s="23">
        <v>319.68</v>
      </c>
      <c r="E8" s="22"/>
    </row>
    <row r="9" spans="1:5" ht="15" customHeight="1" x14ac:dyDescent="0.35">
      <c r="A9" s="24" t="s">
        <v>5472</v>
      </c>
      <c r="B9" s="24" t="s">
        <v>2879</v>
      </c>
      <c r="C9" s="24" t="s">
        <v>2880</v>
      </c>
      <c r="D9" s="25">
        <v>358.11</v>
      </c>
      <c r="E9" s="24"/>
    </row>
    <row r="10" spans="1:5" ht="15" customHeight="1" x14ac:dyDescent="0.35">
      <c r="A10" s="22" t="s">
        <v>5472</v>
      </c>
      <c r="B10" s="22" t="s">
        <v>2883</v>
      </c>
      <c r="C10" s="22" t="s">
        <v>2884</v>
      </c>
      <c r="D10" s="23">
        <v>262.02999999999997</v>
      </c>
      <c r="E10" s="22"/>
    </row>
    <row r="11" spans="1:5" ht="15" customHeight="1" x14ac:dyDescent="0.35">
      <c r="A11" s="24" t="s">
        <v>5472</v>
      </c>
      <c r="B11" s="24" t="s">
        <v>2887</v>
      </c>
      <c r="C11" s="24" t="s">
        <v>2888</v>
      </c>
      <c r="D11" s="25">
        <v>290.86</v>
      </c>
      <c r="E11" s="24"/>
    </row>
    <row r="12" spans="1:5" ht="15" customHeight="1" x14ac:dyDescent="0.35">
      <c r="A12" s="22" t="s">
        <v>5472</v>
      </c>
      <c r="B12" s="22" t="s">
        <v>2891</v>
      </c>
      <c r="C12" s="22" t="s">
        <v>2892</v>
      </c>
      <c r="D12" s="23">
        <v>895.71</v>
      </c>
      <c r="E12" s="22"/>
    </row>
    <row r="13" spans="1:5" ht="15" customHeight="1" x14ac:dyDescent="0.35">
      <c r="A13" s="24" t="s">
        <v>5472</v>
      </c>
      <c r="B13" s="24" t="s">
        <v>2895</v>
      </c>
      <c r="C13" s="24" t="s">
        <v>2896</v>
      </c>
      <c r="D13" s="25">
        <v>137.80000000000001</v>
      </c>
      <c r="E13" s="24"/>
    </row>
    <row r="14" spans="1:5" ht="15" customHeight="1" x14ac:dyDescent="0.35">
      <c r="A14" s="22" t="s">
        <v>5472</v>
      </c>
      <c r="B14" s="22" t="s">
        <v>2899</v>
      </c>
      <c r="C14" s="22" t="s">
        <v>2900</v>
      </c>
      <c r="D14" s="23">
        <v>41.46</v>
      </c>
      <c r="E14" s="22"/>
    </row>
    <row r="15" spans="1:5" ht="15" customHeight="1" x14ac:dyDescent="0.35">
      <c r="A15" s="24" t="s">
        <v>5472</v>
      </c>
      <c r="B15" s="24" t="s">
        <v>2903</v>
      </c>
      <c r="C15" s="24" t="s">
        <v>2904</v>
      </c>
      <c r="D15" s="25">
        <v>1240.21</v>
      </c>
      <c r="E15" s="24"/>
    </row>
    <row r="16" spans="1:5" ht="15" customHeight="1" x14ac:dyDescent="0.35">
      <c r="A16" s="22" t="s">
        <v>5472</v>
      </c>
      <c r="B16" s="22" t="s">
        <v>2907</v>
      </c>
      <c r="C16" s="22" t="s">
        <v>2908</v>
      </c>
      <c r="D16" s="23">
        <v>229.66</v>
      </c>
      <c r="E16" s="22"/>
    </row>
    <row r="17" spans="1:5" ht="15" customHeight="1" x14ac:dyDescent="0.35">
      <c r="A17" s="24" t="s">
        <v>5472</v>
      </c>
      <c r="B17" s="24" t="s">
        <v>2911</v>
      </c>
      <c r="C17" s="24" t="s">
        <v>2912</v>
      </c>
      <c r="D17" s="25">
        <v>242.43</v>
      </c>
      <c r="E17" s="24"/>
    </row>
    <row r="18" spans="1:5" ht="15" customHeight="1" x14ac:dyDescent="0.35">
      <c r="A18" s="22" t="s">
        <v>5472</v>
      </c>
      <c r="B18" s="22" t="s">
        <v>2915</v>
      </c>
      <c r="C18" s="22" t="s">
        <v>2916</v>
      </c>
      <c r="D18" s="23">
        <v>255.18</v>
      </c>
      <c r="E18" s="22"/>
    </row>
    <row r="19" spans="1:5" ht="15" customHeight="1" x14ac:dyDescent="0.35">
      <c r="A19" s="24" t="s">
        <v>5472</v>
      </c>
      <c r="B19" s="24" t="s">
        <v>2919</v>
      </c>
      <c r="C19" s="24" t="s">
        <v>2920</v>
      </c>
      <c r="D19" s="25">
        <v>344.51</v>
      </c>
      <c r="E19" s="24"/>
    </row>
    <row r="20" spans="1:5" ht="15" customHeight="1" x14ac:dyDescent="0.35">
      <c r="A20" s="22" t="s">
        <v>5472</v>
      </c>
      <c r="B20" s="22" t="s">
        <v>2923</v>
      </c>
      <c r="C20" s="22" t="s">
        <v>2924</v>
      </c>
      <c r="D20" s="23">
        <v>387.88</v>
      </c>
      <c r="E20" s="22"/>
    </row>
    <row r="21" spans="1:5" ht="15" customHeight="1" x14ac:dyDescent="0.35">
      <c r="A21" s="24" t="s">
        <v>5472</v>
      </c>
      <c r="B21" s="24" t="s">
        <v>2927</v>
      </c>
      <c r="C21" s="24" t="s">
        <v>2928</v>
      </c>
      <c r="D21" s="25">
        <v>482.31</v>
      </c>
      <c r="E21" s="24"/>
    </row>
    <row r="22" spans="1:5" ht="15" customHeight="1" x14ac:dyDescent="0.35">
      <c r="A22" s="22" t="s">
        <v>5472</v>
      </c>
      <c r="B22" s="22" t="s">
        <v>2931</v>
      </c>
      <c r="C22" s="22" t="s">
        <v>2932</v>
      </c>
      <c r="D22" s="23">
        <v>482.31</v>
      </c>
      <c r="E22" s="22"/>
    </row>
    <row r="23" spans="1:5" ht="15" customHeight="1" x14ac:dyDescent="0.35">
      <c r="A23" s="24" t="s">
        <v>5472</v>
      </c>
      <c r="B23" s="24" t="s">
        <v>2935</v>
      </c>
      <c r="C23" s="24" t="s">
        <v>2936</v>
      </c>
      <c r="D23" s="25">
        <v>47.21</v>
      </c>
      <c r="E23" s="24"/>
    </row>
    <row r="24" spans="1:5" ht="15" customHeight="1" x14ac:dyDescent="0.35">
      <c r="A24" s="22" t="s">
        <v>5472</v>
      </c>
      <c r="B24" s="22" t="s">
        <v>2939</v>
      </c>
      <c r="C24" s="22" t="s">
        <v>2940</v>
      </c>
      <c r="D24" s="23">
        <v>620.11</v>
      </c>
      <c r="E24" s="22"/>
    </row>
    <row r="25" spans="1:5" ht="15" customHeight="1" x14ac:dyDescent="0.35">
      <c r="A25" s="24" t="s">
        <v>5472</v>
      </c>
      <c r="B25" s="24" t="s">
        <v>2943</v>
      </c>
      <c r="C25" s="24" t="s">
        <v>2944</v>
      </c>
      <c r="D25" s="25">
        <v>650.73</v>
      </c>
      <c r="E25" s="24"/>
    </row>
    <row r="26" spans="1:5" ht="15" customHeight="1" x14ac:dyDescent="0.35">
      <c r="A26" s="22" t="s">
        <v>5472</v>
      </c>
      <c r="B26" s="22" t="s">
        <v>2947</v>
      </c>
      <c r="C26" s="22" t="s">
        <v>2948</v>
      </c>
      <c r="D26" s="23">
        <v>52</v>
      </c>
      <c r="E26" s="22"/>
    </row>
    <row r="27" spans="1:5" ht="15" customHeight="1" x14ac:dyDescent="0.35">
      <c r="A27" s="24" t="s">
        <v>5472</v>
      </c>
      <c r="B27" s="24" t="s">
        <v>2951</v>
      </c>
      <c r="C27" s="24" t="s">
        <v>2952</v>
      </c>
      <c r="D27" s="25">
        <v>133.86000000000001</v>
      </c>
      <c r="E27" s="24"/>
    </row>
    <row r="28" spans="1:5" ht="15" customHeight="1" x14ac:dyDescent="0.35">
      <c r="A28" s="22" t="s">
        <v>5472</v>
      </c>
      <c r="B28" s="22" t="s">
        <v>2955</v>
      </c>
      <c r="C28" s="22" t="s">
        <v>2956</v>
      </c>
      <c r="D28" s="23">
        <v>57.19</v>
      </c>
      <c r="E28" s="22"/>
    </row>
    <row r="29" spans="1:5" ht="15" customHeight="1" x14ac:dyDescent="0.35">
      <c r="A29" s="24" t="s">
        <v>5472</v>
      </c>
      <c r="B29" s="24" t="s">
        <v>2959</v>
      </c>
      <c r="C29" s="24" t="s">
        <v>2960</v>
      </c>
      <c r="D29" s="25">
        <v>15.89</v>
      </c>
      <c r="E29" s="24"/>
    </row>
    <row r="30" spans="1:5" ht="15" customHeight="1" x14ac:dyDescent="0.35">
      <c r="A30" s="22" t="s">
        <v>5472</v>
      </c>
      <c r="B30" s="22" t="s">
        <v>2963</v>
      </c>
      <c r="C30" s="22" t="s">
        <v>2964</v>
      </c>
      <c r="D30" s="23">
        <v>55.91</v>
      </c>
      <c r="E30" s="22"/>
    </row>
    <row r="31" spans="1:5" ht="15" customHeight="1" x14ac:dyDescent="0.35">
      <c r="A31" s="24" t="s">
        <v>5472</v>
      </c>
      <c r="B31" s="24" t="s">
        <v>2967</v>
      </c>
      <c r="C31" s="24" t="s">
        <v>2968</v>
      </c>
      <c r="D31" s="25">
        <v>54.77</v>
      </c>
      <c r="E31" s="24"/>
    </row>
    <row r="32" spans="1:5" ht="23.25" customHeight="1" x14ac:dyDescent="0.35">
      <c r="A32" s="22" t="s">
        <v>5472</v>
      </c>
      <c r="B32" s="22" t="s">
        <v>2971</v>
      </c>
      <c r="C32" s="22" t="s">
        <v>2972</v>
      </c>
      <c r="D32" s="23">
        <v>156.91</v>
      </c>
      <c r="E32" s="22"/>
    </row>
    <row r="33" spans="1:5" ht="23.25" customHeight="1" x14ac:dyDescent="0.35">
      <c r="A33" s="24" t="s">
        <v>5472</v>
      </c>
      <c r="B33" s="24" t="s">
        <v>595</v>
      </c>
      <c r="C33" s="24" t="s">
        <v>2975</v>
      </c>
      <c r="D33" s="25">
        <v>156.91</v>
      </c>
      <c r="E33" s="24"/>
    </row>
    <row r="34" spans="1:5" ht="23.25" customHeight="1" x14ac:dyDescent="0.35">
      <c r="A34" s="22" t="s">
        <v>5472</v>
      </c>
      <c r="B34" s="22" t="s">
        <v>2978</v>
      </c>
      <c r="C34" s="22" t="s">
        <v>2979</v>
      </c>
      <c r="D34" s="23">
        <v>152.91</v>
      </c>
      <c r="E34" s="22"/>
    </row>
    <row r="35" spans="1:5" ht="23.25" customHeight="1" x14ac:dyDescent="0.35">
      <c r="A35" s="24" t="s">
        <v>5472</v>
      </c>
      <c r="B35" s="24" t="s">
        <v>2982</v>
      </c>
      <c r="C35" s="24" t="s">
        <v>2983</v>
      </c>
      <c r="D35" s="25">
        <v>152.91</v>
      </c>
      <c r="E35" s="24"/>
    </row>
    <row r="36" spans="1:5" ht="15" customHeight="1" x14ac:dyDescent="0.35">
      <c r="A36" s="22" t="s">
        <v>5472</v>
      </c>
      <c r="B36" s="22" t="s">
        <v>2986</v>
      </c>
      <c r="C36" s="22" t="s">
        <v>2987</v>
      </c>
      <c r="D36" s="23">
        <v>125.53</v>
      </c>
      <c r="E36" s="22"/>
    </row>
    <row r="37" spans="1:5" ht="15" customHeight="1" x14ac:dyDescent="0.35">
      <c r="A37" s="24" t="s">
        <v>5472</v>
      </c>
      <c r="B37" s="24" t="s">
        <v>2990</v>
      </c>
      <c r="C37" s="24" t="s">
        <v>2991</v>
      </c>
      <c r="D37" s="25">
        <v>133.51</v>
      </c>
      <c r="E37" s="24"/>
    </row>
    <row r="38" spans="1:5" ht="15" customHeight="1" x14ac:dyDescent="0.35">
      <c r="A38" s="22" t="s">
        <v>5472</v>
      </c>
      <c r="B38" s="22" t="s">
        <v>2994</v>
      </c>
      <c r="C38" s="22" t="s">
        <v>2995</v>
      </c>
      <c r="D38" s="23">
        <v>125.53</v>
      </c>
      <c r="E38" s="22"/>
    </row>
    <row r="39" spans="1:5" ht="15" customHeight="1" x14ac:dyDescent="0.35">
      <c r="A39" s="24" t="s">
        <v>5472</v>
      </c>
      <c r="B39" s="24" t="s">
        <v>2998</v>
      </c>
      <c r="C39" s="24" t="s">
        <v>2999</v>
      </c>
      <c r="D39" s="25">
        <v>125.53</v>
      </c>
      <c r="E39" s="24"/>
    </row>
    <row r="40" spans="1:5" ht="15" customHeight="1" x14ac:dyDescent="0.35">
      <c r="A40" s="22" t="s">
        <v>5472</v>
      </c>
      <c r="B40" s="22" t="s">
        <v>3002</v>
      </c>
      <c r="C40" s="22" t="s">
        <v>3003</v>
      </c>
      <c r="D40" s="23">
        <v>133.51</v>
      </c>
      <c r="E40" s="22"/>
    </row>
    <row r="41" spans="1:5" ht="15" customHeight="1" x14ac:dyDescent="0.35">
      <c r="A41" s="24" t="s">
        <v>5472</v>
      </c>
      <c r="B41" s="24" t="s">
        <v>3006</v>
      </c>
      <c r="C41" s="24" t="s">
        <v>3007</v>
      </c>
      <c r="D41" s="25">
        <v>83.66</v>
      </c>
      <c r="E41" s="24"/>
    </row>
    <row r="42" spans="1:5" ht="15" customHeight="1" x14ac:dyDescent="0.35">
      <c r="A42" s="22" t="s">
        <v>5472</v>
      </c>
      <c r="B42" s="22" t="s">
        <v>3010</v>
      </c>
      <c r="C42" s="22" t="s">
        <v>3011</v>
      </c>
      <c r="D42" s="23">
        <v>112.36</v>
      </c>
      <c r="E42" s="22"/>
    </row>
    <row r="43" spans="1:5" ht="15" customHeight="1" x14ac:dyDescent="0.35">
      <c r="A43" s="24" t="s">
        <v>5472</v>
      </c>
      <c r="B43" s="24" t="s">
        <v>3014</v>
      </c>
      <c r="C43" s="24" t="s">
        <v>3015</v>
      </c>
      <c r="D43" s="25">
        <v>56.86</v>
      </c>
      <c r="E43" s="24"/>
    </row>
    <row r="44" spans="1:5" ht="15" customHeight="1" x14ac:dyDescent="0.35">
      <c r="A44" s="22" t="s">
        <v>5472</v>
      </c>
      <c r="B44" s="22" t="s">
        <v>3018</v>
      </c>
      <c r="C44" s="22" t="s">
        <v>3019</v>
      </c>
      <c r="D44" s="23">
        <v>93.28</v>
      </c>
      <c r="E44" s="22"/>
    </row>
    <row r="45" spans="1:5" ht="15" customHeight="1" x14ac:dyDescent="0.35">
      <c r="A45" s="24" t="s">
        <v>5472</v>
      </c>
      <c r="B45" s="24" t="s">
        <v>3022</v>
      </c>
      <c r="C45" s="24" t="s">
        <v>3023</v>
      </c>
      <c r="D45" s="25">
        <v>113.5</v>
      </c>
      <c r="E45" s="24"/>
    </row>
    <row r="46" spans="1:5" ht="15" customHeight="1" x14ac:dyDescent="0.35">
      <c r="A46" s="22" t="s">
        <v>5472</v>
      </c>
      <c r="B46" s="22" t="s">
        <v>3026</v>
      </c>
      <c r="C46" s="22" t="s">
        <v>3027</v>
      </c>
      <c r="D46" s="23">
        <v>119.23</v>
      </c>
      <c r="E46" s="22"/>
    </row>
    <row r="47" spans="1:5" ht="15" customHeight="1" x14ac:dyDescent="0.35">
      <c r="A47" s="24" t="s">
        <v>5472</v>
      </c>
      <c r="B47" s="24" t="s">
        <v>3030</v>
      </c>
      <c r="C47" s="24" t="s">
        <v>3031</v>
      </c>
      <c r="D47" s="25">
        <v>188.01</v>
      </c>
      <c r="E47" s="24"/>
    </row>
    <row r="48" spans="1:5" ht="23.25" customHeight="1" x14ac:dyDescent="0.35">
      <c r="A48" s="22" t="s">
        <v>5472</v>
      </c>
      <c r="B48" s="22" t="s">
        <v>3034</v>
      </c>
      <c r="C48" s="22" t="s">
        <v>3035</v>
      </c>
      <c r="D48" s="23">
        <v>2379.9</v>
      </c>
      <c r="E48" s="22"/>
    </row>
    <row r="49" spans="1:5" ht="23.25" customHeight="1" x14ac:dyDescent="0.35">
      <c r="A49" s="24" t="s">
        <v>5472</v>
      </c>
      <c r="B49" s="24" t="s">
        <v>3038</v>
      </c>
      <c r="C49" s="24" t="s">
        <v>3039</v>
      </c>
      <c r="D49" s="25">
        <v>2980.62</v>
      </c>
      <c r="E49" s="24"/>
    </row>
    <row r="50" spans="1:5" ht="15" customHeight="1" x14ac:dyDescent="0.35">
      <c r="A50" s="22" t="s">
        <v>5472</v>
      </c>
      <c r="B50" s="22" t="s">
        <v>3042</v>
      </c>
      <c r="C50" s="22" t="s">
        <v>3043</v>
      </c>
      <c r="D50" s="23">
        <v>1179.1400000000001</v>
      </c>
      <c r="E50" s="22"/>
    </row>
    <row r="51" spans="1:5" ht="15" customHeight="1" x14ac:dyDescent="0.35">
      <c r="A51" s="24" t="s">
        <v>5472</v>
      </c>
      <c r="B51" s="24" t="s">
        <v>3046</v>
      </c>
      <c r="C51" s="24" t="s">
        <v>3047</v>
      </c>
      <c r="D51" s="25">
        <v>1149.8900000000001</v>
      </c>
      <c r="E51" s="24"/>
    </row>
    <row r="52" spans="1:5" ht="15" customHeight="1" x14ac:dyDescent="0.35">
      <c r="A52" s="22" t="s">
        <v>5472</v>
      </c>
      <c r="B52" s="22" t="s">
        <v>3050</v>
      </c>
      <c r="C52" s="22" t="s">
        <v>3051</v>
      </c>
      <c r="D52" s="23">
        <v>114.4</v>
      </c>
      <c r="E52" s="22"/>
    </row>
    <row r="53" spans="1:5" ht="15" customHeight="1" x14ac:dyDescent="0.35">
      <c r="A53" s="24" t="s">
        <v>5472</v>
      </c>
      <c r="B53" s="24" t="s">
        <v>3054</v>
      </c>
      <c r="C53" s="24" t="s">
        <v>3055</v>
      </c>
      <c r="D53" s="25">
        <v>155.55000000000001</v>
      </c>
      <c r="E53" s="24"/>
    </row>
    <row r="54" spans="1:5" ht="15" customHeight="1" x14ac:dyDescent="0.35">
      <c r="A54" s="22" t="s">
        <v>5472</v>
      </c>
      <c r="B54" s="22" t="s">
        <v>3058</v>
      </c>
      <c r="C54" s="22" t="s">
        <v>3059</v>
      </c>
      <c r="D54" s="23">
        <v>134.49</v>
      </c>
      <c r="E54" s="22"/>
    </row>
    <row r="55" spans="1:5" ht="15" customHeight="1" x14ac:dyDescent="0.35">
      <c r="A55" s="24" t="s">
        <v>5472</v>
      </c>
      <c r="B55" s="24" t="s">
        <v>3062</v>
      </c>
      <c r="C55" s="24" t="s">
        <v>3063</v>
      </c>
      <c r="D55" s="25">
        <v>149.44</v>
      </c>
      <c r="E55" s="24"/>
    </row>
    <row r="56" spans="1:5" ht="15" customHeight="1" x14ac:dyDescent="0.35">
      <c r="A56" s="22" t="s">
        <v>5472</v>
      </c>
      <c r="B56" s="22" t="s">
        <v>3066</v>
      </c>
      <c r="C56" s="22" t="s">
        <v>3067</v>
      </c>
      <c r="D56" s="23">
        <v>41.84</v>
      </c>
      <c r="E56" s="22"/>
    </row>
    <row r="57" spans="1:5" ht="15" customHeight="1" x14ac:dyDescent="0.35">
      <c r="A57" s="24" t="s">
        <v>5472</v>
      </c>
      <c r="B57" s="24" t="s">
        <v>3070</v>
      </c>
      <c r="C57" s="24" t="s">
        <v>3071</v>
      </c>
      <c r="D57" s="25">
        <v>56.51</v>
      </c>
      <c r="E57" s="24"/>
    </row>
    <row r="58" spans="1:5" ht="15" customHeight="1" x14ac:dyDescent="0.35">
      <c r="A58" s="22" t="s">
        <v>5472</v>
      </c>
      <c r="B58" s="22" t="s">
        <v>3074</v>
      </c>
      <c r="C58" s="22" t="s">
        <v>3075</v>
      </c>
      <c r="D58" s="23">
        <v>22.82</v>
      </c>
      <c r="E58" s="22"/>
    </row>
    <row r="59" spans="1:5" ht="15" customHeight="1" x14ac:dyDescent="0.35">
      <c r="A59" s="24" t="s">
        <v>5472</v>
      </c>
      <c r="B59" s="24" t="s">
        <v>3078</v>
      </c>
      <c r="C59" s="24" t="s">
        <v>3079</v>
      </c>
      <c r="D59" s="25">
        <v>24.99</v>
      </c>
      <c r="E59" s="24"/>
    </row>
    <row r="60" spans="1:5" ht="15" customHeight="1" x14ac:dyDescent="0.35">
      <c r="A60" s="22" t="s">
        <v>5472</v>
      </c>
      <c r="B60" s="22" t="s">
        <v>3082</v>
      </c>
      <c r="C60" s="22" t="s">
        <v>3083</v>
      </c>
      <c r="D60" s="23">
        <v>33.71</v>
      </c>
      <c r="E60" s="22"/>
    </row>
    <row r="61" spans="1:5" ht="15" customHeight="1" x14ac:dyDescent="0.35">
      <c r="A61" s="24" t="s">
        <v>5472</v>
      </c>
      <c r="B61" s="24" t="s">
        <v>3086</v>
      </c>
      <c r="C61" s="24" t="s">
        <v>3087</v>
      </c>
      <c r="D61" s="25">
        <v>33.71</v>
      </c>
      <c r="E61" s="24"/>
    </row>
    <row r="62" spans="1:5" ht="15" customHeight="1" x14ac:dyDescent="0.35">
      <c r="A62" s="22" t="s">
        <v>5472</v>
      </c>
      <c r="B62" s="22" t="s">
        <v>3090</v>
      </c>
      <c r="C62" s="22" t="s">
        <v>3091</v>
      </c>
      <c r="D62" s="23">
        <v>20.22</v>
      </c>
      <c r="E62" s="22"/>
    </row>
    <row r="63" spans="1:5" ht="15" customHeight="1" x14ac:dyDescent="0.35">
      <c r="A63" s="24" t="s">
        <v>5472</v>
      </c>
      <c r="B63" s="24" t="s">
        <v>3094</v>
      </c>
      <c r="C63" s="24" t="s">
        <v>3095</v>
      </c>
      <c r="D63" s="25">
        <v>13.24</v>
      </c>
      <c r="E63" s="24"/>
    </row>
    <row r="64" spans="1:5" ht="15" customHeight="1" x14ac:dyDescent="0.35">
      <c r="A64" s="22" t="s">
        <v>5472</v>
      </c>
      <c r="B64" s="22" t="s">
        <v>3098</v>
      </c>
      <c r="C64" s="22" t="s">
        <v>3099</v>
      </c>
      <c r="D64" s="23">
        <v>20.22</v>
      </c>
      <c r="E64" s="22"/>
    </row>
    <row r="65" spans="1:5" ht="15" customHeight="1" x14ac:dyDescent="0.35">
      <c r="A65" s="24" t="s">
        <v>5472</v>
      </c>
      <c r="B65" s="24" t="s">
        <v>3102</v>
      </c>
      <c r="C65" s="24" t="s">
        <v>3103</v>
      </c>
      <c r="D65" s="25">
        <v>13.01</v>
      </c>
      <c r="E65" s="24"/>
    </row>
    <row r="66" spans="1:5" ht="15" customHeight="1" x14ac:dyDescent="0.35">
      <c r="A66" s="22" t="s">
        <v>5472</v>
      </c>
      <c r="B66" s="22" t="s">
        <v>3106</v>
      </c>
      <c r="C66" s="22" t="s">
        <v>3107</v>
      </c>
      <c r="D66" s="23">
        <v>4.38</v>
      </c>
      <c r="E66" s="22"/>
    </row>
    <row r="67" spans="1:5" ht="15" customHeight="1" x14ac:dyDescent="0.35">
      <c r="A67" s="24" t="s">
        <v>5472</v>
      </c>
      <c r="B67" s="24" t="s">
        <v>3110</v>
      </c>
      <c r="C67" s="24" t="s">
        <v>3111</v>
      </c>
      <c r="D67" s="25">
        <v>6.9</v>
      </c>
      <c r="E67" s="24"/>
    </row>
    <row r="68" spans="1:5" ht="15" customHeight="1" x14ac:dyDescent="0.35">
      <c r="A68" s="22" t="s">
        <v>5472</v>
      </c>
      <c r="B68" s="22" t="s">
        <v>3114</v>
      </c>
      <c r="C68" s="22" t="s">
        <v>3115</v>
      </c>
      <c r="D68" s="23">
        <v>1102.6600000000001</v>
      </c>
      <c r="E68" s="22"/>
    </row>
    <row r="69" spans="1:5" ht="15" customHeight="1" x14ac:dyDescent="0.35">
      <c r="A69" s="24" t="s">
        <v>5472</v>
      </c>
      <c r="B69" s="24" t="s">
        <v>3118</v>
      </c>
      <c r="C69" s="24" t="s">
        <v>3119</v>
      </c>
      <c r="D69" s="25">
        <v>101.59</v>
      </c>
      <c r="E69" s="24"/>
    </row>
    <row r="70" spans="1:5" ht="15" customHeight="1" x14ac:dyDescent="0.35">
      <c r="A70" s="22" t="s">
        <v>5472</v>
      </c>
      <c r="B70" s="22" t="s">
        <v>3122</v>
      </c>
      <c r="C70" s="22" t="s">
        <v>3123</v>
      </c>
      <c r="D70" s="23">
        <v>193.51</v>
      </c>
      <c r="E70" s="22"/>
    </row>
    <row r="71" spans="1:5" ht="15" customHeight="1" x14ac:dyDescent="0.35">
      <c r="A71" s="24" t="s">
        <v>5472</v>
      </c>
      <c r="B71" s="24" t="s">
        <v>3126</v>
      </c>
      <c r="C71" s="24" t="s">
        <v>3127</v>
      </c>
      <c r="D71" s="25">
        <v>12.61</v>
      </c>
      <c r="E71" s="24"/>
    </row>
    <row r="72" spans="1:5" ht="15" customHeight="1" x14ac:dyDescent="0.35">
      <c r="A72" s="22" t="s">
        <v>5472</v>
      </c>
      <c r="B72" s="22" t="s">
        <v>3130</v>
      </c>
      <c r="C72" s="22" t="s">
        <v>3131</v>
      </c>
      <c r="D72" s="23">
        <v>12.61</v>
      </c>
      <c r="E72" s="22"/>
    </row>
    <row r="73" spans="1:5" ht="15" customHeight="1" x14ac:dyDescent="0.35">
      <c r="A73" s="24" t="s">
        <v>5472</v>
      </c>
      <c r="B73" s="24" t="s">
        <v>3134</v>
      </c>
      <c r="C73" s="24" t="s">
        <v>3135</v>
      </c>
      <c r="D73" s="25">
        <v>40.020000000000003</v>
      </c>
      <c r="E73" s="24"/>
    </row>
    <row r="74" spans="1:5" ht="15" customHeight="1" x14ac:dyDescent="0.35">
      <c r="A74" s="22" t="s">
        <v>5472</v>
      </c>
      <c r="B74" s="22" t="s">
        <v>3138</v>
      </c>
      <c r="C74" s="22" t="s">
        <v>3139</v>
      </c>
      <c r="D74" s="23">
        <v>14.3</v>
      </c>
      <c r="E74" s="22"/>
    </row>
    <row r="75" spans="1:5" ht="15" customHeight="1" x14ac:dyDescent="0.35">
      <c r="A75" s="24" t="s">
        <v>5472</v>
      </c>
      <c r="B75" s="24" t="s">
        <v>3142</v>
      </c>
      <c r="C75" s="24" t="s">
        <v>3143</v>
      </c>
      <c r="D75" s="25">
        <v>52.17</v>
      </c>
      <c r="E75" s="24"/>
    </row>
    <row r="76" spans="1:5" ht="15" customHeight="1" x14ac:dyDescent="0.35">
      <c r="A76" s="22" t="s">
        <v>5472</v>
      </c>
      <c r="B76" s="22" t="s">
        <v>3146</v>
      </c>
      <c r="C76" s="22" t="s">
        <v>3147</v>
      </c>
      <c r="D76" s="23">
        <v>29.89</v>
      </c>
      <c r="E76" s="22"/>
    </row>
    <row r="77" spans="1:5" ht="15" customHeight="1" x14ac:dyDescent="0.35">
      <c r="A77" s="24" t="s">
        <v>5472</v>
      </c>
      <c r="B77" s="24" t="s">
        <v>3150</v>
      </c>
      <c r="C77" s="24" t="s">
        <v>3151</v>
      </c>
      <c r="D77" s="25">
        <v>224.14</v>
      </c>
      <c r="E77" s="24"/>
    </row>
    <row r="78" spans="1:5" ht="15" customHeight="1" x14ac:dyDescent="0.35">
      <c r="A78" s="22" t="s">
        <v>5472</v>
      </c>
      <c r="B78" s="22" t="s">
        <v>3154</v>
      </c>
      <c r="C78" s="22" t="s">
        <v>3155</v>
      </c>
      <c r="D78" s="23">
        <v>597.72</v>
      </c>
      <c r="E78" s="22"/>
    </row>
    <row r="79" spans="1:5" ht="15" customHeight="1" x14ac:dyDescent="0.35">
      <c r="A79" s="24" t="s">
        <v>5472</v>
      </c>
      <c r="B79" s="24" t="s">
        <v>3158</v>
      </c>
      <c r="C79" s="24" t="s">
        <v>3159</v>
      </c>
      <c r="D79" s="25">
        <v>29.89</v>
      </c>
      <c r="E79" s="24"/>
    </row>
    <row r="80" spans="1:5" ht="15" customHeight="1" x14ac:dyDescent="0.35">
      <c r="A80" s="22" t="s">
        <v>5472</v>
      </c>
      <c r="B80" s="22" t="s">
        <v>3162</v>
      </c>
      <c r="C80" s="22" t="s">
        <v>3163</v>
      </c>
      <c r="D80" s="23">
        <v>15.25</v>
      </c>
      <c r="E80" s="22"/>
    </row>
    <row r="81" spans="1:5" ht="15" customHeight="1" x14ac:dyDescent="0.35">
      <c r="A81" s="24" t="s">
        <v>5472</v>
      </c>
      <c r="B81" s="24" t="s">
        <v>3166</v>
      </c>
      <c r="C81" s="24" t="s">
        <v>3167</v>
      </c>
      <c r="D81" s="25">
        <v>44.82</v>
      </c>
      <c r="E81" s="24"/>
    </row>
    <row r="82" spans="1:5" ht="15" customHeight="1" x14ac:dyDescent="0.35">
      <c r="A82" s="22" t="s">
        <v>5472</v>
      </c>
      <c r="B82" s="22" t="s">
        <v>3170</v>
      </c>
      <c r="C82" s="22" t="s">
        <v>3171</v>
      </c>
      <c r="D82" s="23">
        <v>298.85000000000002</v>
      </c>
      <c r="E82" s="22"/>
    </row>
    <row r="83" spans="1:5" ht="15" customHeight="1" x14ac:dyDescent="0.35">
      <c r="A83" s="24" t="s">
        <v>5472</v>
      </c>
      <c r="B83" s="24" t="s">
        <v>3174</v>
      </c>
      <c r="C83" s="24" t="s">
        <v>3175</v>
      </c>
      <c r="D83" s="25">
        <v>41.84</v>
      </c>
      <c r="E83" s="24"/>
    </row>
    <row r="84" spans="1:5" ht="15" customHeight="1" x14ac:dyDescent="0.35">
      <c r="A84" s="22" t="s">
        <v>5472</v>
      </c>
      <c r="B84" s="22" t="s">
        <v>3178</v>
      </c>
      <c r="C84" s="22" t="s">
        <v>3179</v>
      </c>
      <c r="D84" s="23">
        <v>68.02</v>
      </c>
      <c r="E84" s="22"/>
    </row>
    <row r="85" spans="1:5" ht="15" customHeight="1" x14ac:dyDescent="0.35">
      <c r="A85" s="24" t="s">
        <v>5472</v>
      </c>
      <c r="B85" s="24" t="s">
        <v>3182</v>
      </c>
      <c r="C85" s="24" t="s">
        <v>3183</v>
      </c>
      <c r="D85" s="25">
        <v>40.020000000000003</v>
      </c>
      <c r="E85" s="24"/>
    </row>
    <row r="86" spans="1:5" ht="15" customHeight="1" x14ac:dyDescent="0.35">
      <c r="A86" s="22" t="s">
        <v>5472</v>
      </c>
      <c r="B86" s="22" t="s">
        <v>3186</v>
      </c>
      <c r="C86" s="22" t="s">
        <v>3187</v>
      </c>
      <c r="D86" s="23">
        <v>109.2</v>
      </c>
      <c r="E86" s="22"/>
    </row>
    <row r="87" spans="1:5" ht="15" customHeight="1" x14ac:dyDescent="0.35">
      <c r="A87" s="24" t="s">
        <v>5472</v>
      </c>
      <c r="B87" s="24" t="s">
        <v>3190</v>
      </c>
      <c r="C87" s="24" t="s">
        <v>3191</v>
      </c>
      <c r="D87" s="25">
        <v>140.38999999999999</v>
      </c>
      <c r="E87" s="24"/>
    </row>
    <row r="88" spans="1:5" ht="15" customHeight="1" x14ac:dyDescent="0.35">
      <c r="A88" s="22" t="s">
        <v>5472</v>
      </c>
      <c r="B88" s="22" t="s">
        <v>3194</v>
      </c>
      <c r="C88" s="22" t="s">
        <v>3195</v>
      </c>
      <c r="D88" s="23">
        <v>128.71</v>
      </c>
      <c r="E88" s="22"/>
    </row>
    <row r="89" spans="1:5" ht="15" customHeight="1" x14ac:dyDescent="0.35">
      <c r="A89" s="24" t="s">
        <v>5472</v>
      </c>
      <c r="B89" s="24" t="s">
        <v>3198</v>
      </c>
      <c r="C89" s="24" t="s">
        <v>3199</v>
      </c>
      <c r="D89" s="25">
        <v>150.80000000000001</v>
      </c>
      <c r="E89" s="24"/>
    </row>
    <row r="90" spans="1:5" ht="15" customHeight="1" x14ac:dyDescent="0.35">
      <c r="A90" s="22" t="s">
        <v>5472</v>
      </c>
      <c r="B90" s="22" t="s">
        <v>3202</v>
      </c>
      <c r="C90" s="22" t="s">
        <v>3203</v>
      </c>
      <c r="D90" s="23">
        <v>157.30000000000001</v>
      </c>
      <c r="E90" s="22"/>
    </row>
    <row r="91" spans="1:5" ht="15" customHeight="1" x14ac:dyDescent="0.35">
      <c r="A91" s="24" t="s">
        <v>5472</v>
      </c>
      <c r="B91" s="24" t="s">
        <v>3206</v>
      </c>
      <c r="C91" s="24" t="s">
        <v>3207</v>
      </c>
      <c r="D91" s="25">
        <v>34.659999999999997</v>
      </c>
      <c r="E91" s="24"/>
    </row>
    <row r="92" spans="1:5" ht="15" customHeight="1" x14ac:dyDescent="0.35">
      <c r="A92" s="22" t="s">
        <v>5472</v>
      </c>
      <c r="B92" s="22" t="s">
        <v>3210</v>
      </c>
      <c r="C92" s="22" t="s">
        <v>3211</v>
      </c>
      <c r="D92" s="23">
        <v>367.67</v>
      </c>
      <c r="E92" s="22"/>
    </row>
    <row r="93" spans="1:5" ht="15" customHeight="1" x14ac:dyDescent="0.35">
      <c r="A93" s="24" t="s">
        <v>5472</v>
      </c>
      <c r="B93" s="24" t="s">
        <v>3214</v>
      </c>
      <c r="C93" s="24" t="s">
        <v>3215</v>
      </c>
      <c r="D93" s="25">
        <v>199.55</v>
      </c>
      <c r="E93" s="24"/>
    </row>
    <row r="94" spans="1:5" ht="15" customHeight="1" x14ac:dyDescent="0.35">
      <c r="A94" s="22" t="s">
        <v>5472</v>
      </c>
      <c r="B94" s="22" t="s">
        <v>3218</v>
      </c>
      <c r="C94" s="22" t="s">
        <v>3219</v>
      </c>
      <c r="D94" s="23">
        <v>66.53</v>
      </c>
      <c r="E94" s="22"/>
    </row>
    <row r="95" spans="1:5" ht="15" customHeight="1" x14ac:dyDescent="0.35">
      <c r="A95" s="24" t="s">
        <v>5472</v>
      </c>
      <c r="B95" s="24" t="s">
        <v>3222</v>
      </c>
      <c r="C95" s="24" t="s">
        <v>3223</v>
      </c>
      <c r="D95" s="25">
        <v>97.8</v>
      </c>
      <c r="E95" s="24"/>
    </row>
    <row r="96" spans="1:5" ht="23.25" customHeight="1" x14ac:dyDescent="0.35">
      <c r="A96" s="22" t="s">
        <v>5472</v>
      </c>
      <c r="B96" s="22" t="s">
        <v>3226</v>
      </c>
      <c r="C96" s="22" t="s">
        <v>3227</v>
      </c>
      <c r="D96" s="23">
        <v>98.62</v>
      </c>
      <c r="E96" s="22"/>
    </row>
    <row r="97" spans="1:5" ht="23.25" customHeight="1" x14ac:dyDescent="0.35">
      <c r="A97" s="24" t="s">
        <v>5472</v>
      </c>
      <c r="B97" s="24" t="s">
        <v>3230</v>
      </c>
      <c r="C97" s="24" t="s">
        <v>3231</v>
      </c>
      <c r="D97" s="25">
        <v>141.29</v>
      </c>
      <c r="E97" s="24"/>
    </row>
    <row r="98" spans="1:5" ht="23.25" customHeight="1" x14ac:dyDescent="0.35">
      <c r="A98" s="22" t="s">
        <v>5472</v>
      </c>
      <c r="B98" s="22" t="s">
        <v>3234</v>
      </c>
      <c r="C98" s="22" t="s">
        <v>3235</v>
      </c>
      <c r="D98" s="23">
        <v>110.59</v>
      </c>
      <c r="E98" s="22"/>
    </row>
    <row r="99" spans="1:5" ht="15" customHeight="1" x14ac:dyDescent="0.35">
      <c r="A99" s="24" t="s">
        <v>5472</v>
      </c>
      <c r="B99" s="24" t="s">
        <v>3238</v>
      </c>
      <c r="C99" s="24" t="s">
        <v>3239</v>
      </c>
      <c r="D99" s="25">
        <v>10.33</v>
      </c>
      <c r="E99" s="24"/>
    </row>
    <row r="100" spans="1:5" ht="15" customHeight="1" x14ac:dyDescent="0.35">
      <c r="A100" s="22" t="s">
        <v>5472</v>
      </c>
      <c r="B100" s="22" t="s">
        <v>3242</v>
      </c>
      <c r="C100" s="22" t="s">
        <v>3243</v>
      </c>
      <c r="D100" s="23">
        <v>29.89</v>
      </c>
      <c r="E100" s="22"/>
    </row>
    <row r="101" spans="1:5" ht="15" customHeight="1" x14ac:dyDescent="0.35">
      <c r="A101" s="24" t="s">
        <v>5472</v>
      </c>
      <c r="B101" s="24" t="s">
        <v>3246</v>
      </c>
      <c r="C101" s="24" t="s">
        <v>3247</v>
      </c>
      <c r="D101" s="25">
        <v>143.46</v>
      </c>
      <c r="E101" s="24"/>
    </row>
    <row r="102" spans="1:5" ht="15" customHeight="1" x14ac:dyDescent="0.35">
      <c r="A102" s="22" t="s">
        <v>5472</v>
      </c>
      <c r="B102" s="22" t="s">
        <v>3250</v>
      </c>
      <c r="C102" s="22" t="s">
        <v>3251</v>
      </c>
      <c r="D102" s="23">
        <v>149.44</v>
      </c>
      <c r="E102" s="22"/>
    </row>
    <row r="103" spans="1:5" ht="15" customHeight="1" x14ac:dyDescent="0.35">
      <c r="A103" s="24" t="s">
        <v>5472</v>
      </c>
      <c r="B103" s="24" t="s">
        <v>3254</v>
      </c>
      <c r="C103" s="24" t="s">
        <v>3255</v>
      </c>
      <c r="D103" s="25">
        <v>16.12</v>
      </c>
      <c r="E103" s="24"/>
    </row>
    <row r="104" spans="1:5" ht="15" customHeight="1" x14ac:dyDescent="0.35">
      <c r="A104" s="22" t="s">
        <v>5472</v>
      </c>
      <c r="B104" s="22" t="s">
        <v>3258</v>
      </c>
      <c r="C104" s="22" t="s">
        <v>3259</v>
      </c>
      <c r="D104" s="23">
        <v>149.44</v>
      </c>
      <c r="E104" s="22"/>
    </row>
    <row r="105" spans="1:5" ht="15" customHeight="1" x14ac:dyDescent="0.35">
      <c r="A105" s="24" t="s">
        <v>5472</v>
      </c>
      <c r="B105" s="24" t="s">
        <v>3262</v>
      </c>
      <c r="C105" s="24" t="s">
        <v>3263</v>
      </c>
      <c r="D105" s="25">
        <v>154.81</v>
      </c>
      <c r="E105" s="24"/>
    </row>
    <row r="106" spans="1:5" ht="23.25" customHeight="1" x14ac:dyDescent="0.35">
      <c r="A106" s="22" t="s">
        <v>5472</v>
      </c>
      <c r="B106" s="22" t="s">
        <v>3266</v>
      </c>
      <c r="C106" s="22" t="s">
        <v>3267</v>
      </c>
      <c r="D106" s="23">
        <v>234.98</v>
      </c>
      <c r="E106" s="22"/>
    </row>
    <row r="107" spans="1:5" ht="23.25" customHeight="1" x14ac:dyDescent="0.35">
      <c r="A107" s="24" t="s">
        <v>5472</v>
      </c>
      <c r="B107" s="24" t="s">
        <v>3270</v>
      </c>
      <c r="C107" s="24" t="s">
        <v>3271</v>
      </c>
      <c r="D107" s="25">
        <v>217.46</v>
      </c>
      <c r="E107" s="24"/>
    </row>
    <row r="108" spans="1:5" ht="15" customHeight="1" x14ac:dyDescent="0.35">
      <c r="A108" s="22" t="s">
        <v>5472</v>
      </c>
      <c r="B108" s="22" t="s">
        <v>3274</v>
      </c>
      <c r="C108" s="22" t="s">
        <v>3275</v>
      </c>
      <c r="D108" s="23">
        <v>140.99</v>
      </c>
      <c r="E108" s="22"/>
    </row>
    <row r="109" spans="1:5" ht="15" customHeight="1" x14ac:dyDescent="0.35">
      <c r="A109" s="24" t="s">
        <v>5472</v>
      </c>
      <c r="B109" s="24" t="s">
        <v>3278</v>
      </c>
      <c r="C109" s="24" t="s">
        <v>3279</v>
      </c>
      <c r="D109" s="25">
        <v>11.06</v>
      </c>
      <c r="E109" s="24"/>
    </row>
    <row r="110" spans="1:5" ht="15" customHeight="1" x14ac:dyDescent="0.35">
      <c r="A110" s="22" t="s">
        <v>5472</v>
      </c>
      <c r="B110" s="22" t="s">
        <v>3282</v>
      </c>
      <c r="C110" s="22" t="s">
        <v>3283</v>
      </c>
      <c r="D110" s="23">
        <v>185</v>
      </c>
      <c r="E110" s="22"/>
    </row>
    <row r="111" spans="1:5" ht="15" customHeight="1" x14ac:dyDescent="0.35">
      <c r="A111" s="24" t="s">
        <v>5472</v>
      </c>
      <c r="B111" s="24" t="s">
        <v>3286</v>
      </c>
      <c r="C111" s="24" t="s">
        <v>3287</v>
      </c>
      <c r="D111" s="25">
        <v>197</v>
      </c>
      <c r="E111" s="24"/>
    </row>
    <row r="112" spans="1:5" ht="15" customHeight="1" x14ac:dyDescent="0.35">
      <c r="A112" s="22" t="s">
        <v>5472</v>
      </c>
      <c r="B112" s="22" t="s">
        <v>3290</v>
      </c>
      <c r="C112" s="22" t="s">
        <v>3291</v>
      </c>
      <c r="D112" s="23">
        <v>17</v>
      </c>
      <c r="E112" s="22"/>
    </row>
    <row r="113" spans="1:5" ht="15" customHeight="1" x14ac:dyDescent="0.35">
      <c r="A113" s="24" t="s">
        <v>5472</v>
      </c>
      <c r="B113" s="24" t="s">
        <v>3294</v>
      </c>
      <c r="C113" s="24" t="s">
        <v>3295</v>
      </c>
      <c r="D113" s="25">
        <v>66</v>
      </c>
      <c r="E113" s="24"/>
    </row>
    <row r="114" spans="1:5" ht="15" customHeight="1" x14ac:dyDescent="0.35">
      <c r="A114" s="22" t="s">
        <v>5472</v>
      </c>
      <c r="B114" s="22" t="s">
        <v>3298</v>
      </c>
      <c r="C114" s="22" t="s">
        <v>3299</v>
      </c>
      <c r="D114" s="23">
        <v>55.29</v>
      </c>
      <c r="E114" s="22"/>
    </row>
    <row r="115" spans="1:5" ht="15" customHeight="1" x14ac:dyDescent="0.35">
      <c r="A115" s="24" t="s">
        <v>5472</v>
      </c>
      <c r="B115" s="24" t="s">
        <v>3302</v>
      </c>
      <c r="C115" s="24" t="s">
        <v>3303</v>
      </c>
      <c r="D115" s="25">
        <v>13.58</v>
      </c>
      <c r="E115" s="24"/>
    </row>
    <row r="116" spans="1:5" ht="15" customHeight="1" x14ac:dyDescent="0.35">
      <c r="A116" s="22" t="s">
        <v>5472</v>
      </c>
      <c r="B116" s="22" t="s">
        <v>3306</v>
      </c>
      <c r="C116" s="22" t="s">
        <v>3307</v>
      </c>
      <c r="D116" s="23">
        <v>66.2</v>
      </c>
      <c r="E116" s="22"/>
    </row>
    <row r="117" spans="1:5" ht="15" customHeight="1" x14ac:dyDescent="0.35">
      <c r="A117" s="24" t="s">
        <v>5472</v>
      </c>
      <c r="B117" s="24" t="s">
        <v>3310</v>
      </c>
      <c r="C117" s="24" t="s">
        <v>3311</v>
      </c>
      <c r="D117" s="25">
        <v>66.2</v>
      </c>
      <c r="E117" s="24"/>
    </row>
    <row r="118" spans="1:5" ht="15" customHeight="1" x14ac:dyDescent="0.35">
      <c r="A118" s="22" t="s">
        <v>5472</v>
      </c>
      <c r="B118" s="22" t="s">
        <v>3314</v>
      </c>
      <c r="C118" s="22" t="s">
        <v>3315</v>
      </c>
      <c r="D118" s="23">
        <v>66.2</v>
      </c>
      <c r="E118" s="22"/>
    </row>
    <row r="119" spans="1:5" ht="15" customHeight="1" x14ac:dyDescent="0.35">
      <c r="A119" s="24" t="s">
        <v>5472</v>
      </c>
      <c r="B119" s="24" t="s">
        <v>3318</v>
      </c>
      <c r="C119" s="24" t="s">
        <v>3319</v>
      </c>
      <c r="D119" s="25">
        <v>78.86</v>
      </c>
      <c r="E119" s="24"/>
    </row>
    <row r="120" spans="1:5" ht="15" customHeight="1" x14ac:dyDescent="0.35">
      <c r="A120" s="22" t="s">
        <v>5472</v>
      </c>
      <c r="B120" s="22" t="s">
        <v>3322</v>
      </c>
      <c r="C120" s="22" t="s">
        <v>3323</v>
      </c>
      <c r="D120" s="23">
        <v>210.93</v>
      </c>
      <c r="E120" s="22"/>
    </row>
    <row r="121" spans="1:5" ht="15" customHeight="1" x14ac:dyDescent="0.35">
      <c r="A121" s="24" t="s">
        <v>5472</v>
      </c>
      <c r="B121" s="24" t="s">
        <v>3326</v>
      </c>
      <c r="C121" s="24" t="s">
        <v>3327</v>
      </c>
      <c r="D121" s="25">
        <v>136.19</v>
      </c>
      <c r="E121" s="24"/>
    </row>
    <row r="122" spans="1:5" ht="15" customHeight="1" x14ac:dyDescent="0.35">
      <c r="A122" s="22" t="s">
        <v>5472</v>
      </c>
      <c r="B122" s="22" t="s">
        <v>3330</v>
      </c>
      <c r="C122" s="22" t="s">
        <v>3331</v>
      </c>
      <c r="D122" s="23">
        <v>87.54</v>
      </c>
      <c r="E122" s="22"/>
    </row>
    <row r="123" spans="1:5" ht="15" customHeight="1" x14ac:dyDescent="0.35">
      <c r="A123" s="24" t="s">
        <v>5472</v>
      </c>
      <c r="B123" s="24" t="s">
        <v>3334</v>
      </c>
      <c r="C123" s="24" t="s">
        <v>3335</v>
      </c>
      <c r="D123" s="25">
        <v>70.95</v>
      </c>
      <c r="E123" s="24"/>
    </row>
    <row r="124" spans="1:5" ht="15" customHeight="1" x14ac:dyDescent="0.35">
      <c r="A124" s="22" t="s">
        <v>5472</v>
      </c>
      <c r="B124" s="22" t="s">
        <v>3338</v>
      </c>
      <c r="C124" s="22" t="s">
        <v>3339</v>
      </c>
      <c r="D124" s="23">
        <v>57.65</v>
      </c>
      <c r="E124" s="22"/>
    </row>
    <row r="125" spans="1:5" ht="15" customHeight="1" x14ac:dyDescent="0.35">
      <c r="A125" s="24" t="s">
        <v>5472</v>
      </c>
      <c r="B125" s="24" t="s">
        <v>3342</v>
      </c>
      <c r="C125" s="24" t="s">
        <v>3343</v>
      </c>
      <c r="D125" s="25">
        <v>536.78</v>
      </c>
      <c r="E125" s="24"/>
    </row>
    <row r="126" spans="1:5" ht="15" customHeight="1" x14ac:dyDescent="0.35">
      <c r="A126" s="22" t="s">
        <v>5472</v>
      </c>
      <c r="B126" s="22" t="s">
        <v>3346</v>
      </c>
      <c r="C126" s="22" t="s">
        <v>3347</v>
      </c>
      <c r="D126" s="23">
        <v>52.97</v>
      </c>
      <c r="E126" s="22"/>
    </row>
    <row r="127" spans="1:5" ht="15" customHeight="1" x14ac:dyDescent="0.35">
      <c r="A127" s="24" t="s">
        <v>5472</v>
      </c>
      <c r="B127" s="24" t="s">
        <v>3350</v>
      </c>
      <c r="C127" s="24" t="s">
        <v>3351</v>
      </c>
      <c r="D127" s="25">
        <v>263.54000000000002</v>
      </c>
      <c r="E127" s="24"/>
    </row>
    <row r="128" spans="1:5" ht="15" customHeight="1" x14ac:dyDescent="0.35">
      <c r="A128" s="22" t="s">
        <v>5472</v>
      </c>
      <c r="B128" s="22" t="s">
        <v>3354</v>
      </c>
      <c r="C128" s="22" t="s">
        <v>3355</v>
      </c>
      <c r="D128" s="23">
        <v>313.3</v>
      </c>
      <c r="E128" s="22"/>
    </row>
    <row r="129" spans="1:5" ht="15" customHeight="1" x14ac:dyDescent="0.35">
      <c r="A129" s="24" t="s">
        <v>5472</v>
      </c>
      <c r="B129" s="24" t="s">
        <v>3358</v>
      </c>
      <c r="C129" s="24" t="s">
        <v>3359</v>
      </c>
      <c r="D129" s="25">
        <v>119.74</v>
      </c>
      <c r="E129" s="24"/>
    </row>
    <row r="130" spans="1:5" ht="15" customHeight="1" x14ac:dyDescent="0.35">
      <c r="A130" s="22" t="s">
        <v>5472</v>
      </c>
      <c r="B130" s="22" t="s">
        <v>3362</v>
      </c>
      <c r="C130" s="22" t="s">
        <v>3363</v>
      </c>
      <c r="D130" s="23">
        <v>55.61</v>
      </c>
      <c r="E130" s="22"/>
    </row>
    <row r="131" spans="1:5" ht="15" customHeight="1" x14ac:dyDescent="0.35">
      <c r="A131" s="24" t="s">
        <v>5472</v>
      </c>
      <c r="B131" s="24" t="s">
        <v>3366</v>
      </c>
      <c r="C131" s="24" t="s">
        <v>3367</v>
      </c>
      <c r="D131" s="25">
        <v>66.2</v>
      </c>
      <c r="E131" s="24"/>
    </row>
    <row r="132" spans="1:5" ht="15" customHeight="1" x14ac:dyDescent="0.35">
      <c r="A132" s="22" t="s">
        <v>5472</v>
      </c>
      <c r="B132" s="22" t="s">
        <v>3370</v>
      </c>
      <c r="C132" s="22" t="s">
        <v>3371</v>
      </c>
      <c r="D132" s="23">
        <v>59.7</v>
      </c>
      <c r="E132" s="22"/>
    </row>
    <row r="133" spans="1:5" ht="15" customHeight="1" x14ac:dyDescent="0.35">
      <c r="A133" s="24" t="s">
        <v>5472</v>
      </c>
      <c r="B133" s="24" t="s">
        <v>3374</v>
      </c>
      <c r="C133" s="24" t="s">
        <v>3375</v>
      </c>
      <c r="D133" s="25">
        <v>63.55</v>
      </c>
      <c r="E133" s="24"/>
    </row>
    <row r="134" spans="1:5" ht="15" customHeight="1" x14ac:dyDescent="0.35">
      <c r="A134" s="22" t="s">
        <v>5472</v>
      </c>
      <c r="B134" s="22" t="s">
        <v>3378</v>
      </c>
      <c r="C134" s="22" t="s">
        <v>3379</v>
      </c>
      <c r="D134" s="23">
        <v>55.61</v>
      </c>
      <c r="E134" s="22"/>
    </row>
    <row r="135" spans="1:5" ht="15" customHeight="1" x14ac:dyDescent="0.35">
      <c r="A135" s="24" t="s">
        <v>5472</v>
      </c>
      <c r="B135" s="24" t="s">
        <v>3382</v>
      </c>
      <c r="C135" s="24" t="s">
        <v>3383</v>
      </c>
      <c r="D135" s="25">
        <v>19.260000000000002</v>
      </c>
      <c r="E135" s="24"/>
    </row>
    <row r="136" spans="1:5" ht="15" customHeight="1" x14ac:dyDescent="0.35">
      <c r="A136" s="22" t="s">
        <v>5472</v>
      </c>
      <c r="B136" s="22" t="s">
        <v>3386</v>
      </c>
      <c r="C136" s="22" t="s">
        <v>3387</v>
      </c>
      <c r="D136" s="23">
        <v>93.59</v>
      </c>
      <c r="E136" s="22"/>
    </row>
    <row r="137" spans="1:5" ht="15" customHeight="1" x14ac:dyDescent="0.35">
      <c r="A137" s="24" t="s">
        <v>5472</v>
      </c>
      <c r="B137" s="24" t="s">
        <v>3390</v>
      </c>
      <c r="C137" s="24" t="s">
        <v>3391</v>
      </c>
      <c r="D137" s="25">
        <v>93.59</v>
      </c>
      <c r="E137" s="24"/>
    </row>
    <row r="138" spans="1:5" ht="15" customHeight="1" x14ac:dyDescent="0.35">
      <c r="A138" s="22" t="s">
        <v>5472</v>
      </c>
      <c r="B138" s="22" t="s">
        <v>3394</v>
      </c>
      <c r="C138" s="22" t="s">
        <v>3395</v>
      </c>
      <c r="D138" s="23">
        <v>97.24</v>
      </c>
      <c r="E138" s="22"/>
    </row>
    <row r="139" spans="1:5" ht="15" customHeight="1" x14ac:dyDescent="0.35">
      <c r="A139" s="24" t="s">
        <v>5472</v>
      </c>
      <c r="B139" s="24" t="s">
        <v>3398</v>
      </c>
      <c r="C139" s="24" t="s">
        <v>3399</v>
      </c>
      <c r="D139" s="25">
        <v>121.68</v>
      </c>
      <c r="E139" s="24"/>
    </row>
    <row r="140" spans="1:5" ht="15" customHeight="1" x14ac:dyDescent="0.35">
      <c r="A140" s="22" t="s">
        <v>5472</v>
      </c>
      <c r="B140" s="22" t="s">
        <v>3402</v>
      </c>
      <c r="C140" s="22" t="s">
        <v>3403</v>
      </c>
      <c r="D140" s="23">
        <v>121.68</v>
      </c>
      <c r="E140" s="22"/>
    </row>
    <row r="141" spans="1:5" ht="15" customHeight="1" x14ac:dyDescent="0.35">
      <c r="A141" s="24" t="s">
        <v>5472</v>
      </c>
      <c r="B141" s="24" t="s">
        <v>3406</v>
      </c>
      <c r="C141" s="24" t="s">
        <v>3407</v>
      </c>
      <c r="D141" s="25">
        <v>534.24</v>
      </c>
      <c r="E141" s="24"/>
    </row>
    <row r="142" spans="1:5" ht="15" customHeight="1" x14ac:dyDescent="0.35">
      <c r="A142" s="22" t="s">
        <v>5472</v>
      </c>
      <c r="B142" s="22" t="s">
        <v>3410</v>
      </c>
      <c r="C142" s="22" t="s">
        <v>3411</v>
      </c>
      <c r="D142" s="23">
        <v>6811.98</v>
      </c>
      <c r="E142" s="22"/>
    </row>
    <row r="143" spans="1:5" ht="15" customHeight="1" x14ac:dyDescent="0.35">
      <c r="A143" s="24" t="s">
        <v>5472</v>
      </c>
      <c r="B143" s="24" t="s">
        <v>3414</v>
      </c>
      <c r="C143" s="24" t="s">
        <v>3415</v>
      </c>
      <c r="D143" s="25">
        <v>921.78</v>
      </c>
      <c r="E143" s="24"/>
    </row>
    <row r="144" spans="1:5" ht="15" customHeight="1" x14ac:dyDescent="0.35">
      <c r="A144" s="22" t="s">
        <v>5472</v>
      </c>
      <c r="B144" s="22" t="s">
        <v>3418</v>
      </c>
      <c r="C144" s="22" t="s">
        <v>3419</v>
      </c>
      <c r="D144" s="23">
        <v>1012.51</v>
      </c>
      <c r="E144" s="22"/>
    </row>
    <row r="145" spans="1:5" ht="15" customHeight="1" x14ac:dyDescent="0.35">
      <c r="A145" s="24" t="s">
        <v>5472</v>
      </c>
      <c r="B145" s="24" t="s">
        <v>3422</v>
      </c>
      <c r="C145" s="24" t="s">
        <v>3423</v>
      </c>
      <c r="D145" s="25">
        <v>88.27</v>
      </c>
      <c r="E145" s="24"/>
    </row>
    <row r="146" spans="1:5" ht="15" customHeight="1" x14ac:dyDescent="0.35">
      <c r="A146" s="22" t="s">
        <v>5472</v>
      </c>
      <c r="B146" s="22" t="s">
        <v>3426</v>
      </c>
      <c r="C146" s="22" t="s">
        <v>3427</v>
      </c>
      <c r="D146" s="23">
        <v>100.88</v>
      </c>
      <c r="E146" s="22"/>
    </row>
    <row r="147" spans="1:5" ht="15" customHeight="1" x14ac:dyDescent="0.35">
      <c r="A147" s="24" t="s">
        <v>5472</v>
      </c>
      <c r="B147" s="24" t="s">
        <v>3430</v>
      </c>
      <c r="C147" s="24" t="s">
        <v>3431</v>
      </c>
      <c r="D147" s="25">
        <v>329.5</v>
      </c>
      <c r="E147" s="24"/>
    </row>
    <row r="148" spans="1:5" ht="15" customHeight="1" x14ac:dyDescent="0.35">
      <c r="A148" s="22" t="s">
        <v>5472</v>
      </c>
      <c r="B148" s="22" t="s">
        <v>3434</v>
      </c>
      <c r="C148" s="22" t="s">
        <v>3435</v>
      </c>
      <c r="D148" s="23">
        <v>360.86</v>
      </c>
      <c r="E148" s="22"/>
    </row>
    <row r="149" spans="1:5" ht="15" customHeight="1" x14ac:dyDescent="0.35">
      <c r="A149" s="24" t="s">
        <v>5472</v>
      </c>
      <c r="B149" s="24" t="s">
        <v>3438</v>
      </c>
      <c r="C149" s="24" t="s">
        <v>3439</v>
      </c>
      <c r="D149" s="25">
        <v>517.78</v>
      </c>
      <c r="E149" s="24"/>
    </row>
    <row r="150" spans="1:5" ht="15" customHeight="1" x14ac:dyDescent="0.35">
      <c r="A150" s="22" t="s">
        <v>5472</v>
      </c>
      <c r="B150" s="22" t="s">
        <v>3442</v>
      </c>
      <c r="C150" s="22" t="s">
        <v>3443</v>
      </c>
      <c r="D150" s="23">
        <v>433.62</v>
      </c>
      <c r="E150" s="22"/>
    </row>
    <row r="151" spans="1:5" ht="15" customHeight="1" x14ac:dyDescent="0.35">
      <c r="A151" s="24" t="s">
        <v>5472</v>
      </c>
      <c r="B151" s="24" t="s">
        <v>3446</v>
      </c>
      <c r="C151" s="24" t="s">
        <v>3447</v>
      </c>
      <c r="D151" s="25">
        <v>204.28</v>
      </c>
      <c r="E151" s="24"/>
    </row>
    <row r="152" spans="1:5" ht="15" customHeight="1" x14ac:dyDescent="0.35">
      <c r="A152" s="22" t="s">
        <v>5472</v>
      </c>
      <c r="B152" s="22" t="s">
        <v>3450</v>
      </c>
      <c r="C152" s="22" t="s">
        <v>3451</v>
      </c>
      <c r="D152" s="23">
        <v>133.63999999999999</v>
      </c>
      <c r="E152" s="22"/>
    </row>
    <row r="153" spans="1:5" ht="15" customHeight="1" x14ac:dyDescent="0.35">
      <c r="A153" s="24" t="s">
        <v>5472</v>
      </c>
      <c r="B153" s="24" t="s">
        <v>3454</v>
      </c>
      <c r="C153" s="24" t="s">
        <v>3455</v>
      </c>
      <c r="D153" s="25">
        <v>136.93</v>
      </c>
      <c r="E153" s="24"/>
    </row>
    <row r="154" spans="1:5" ht="15" customHeight="1" x14ac:dyDescent="0.35">
      <c r="A154" s="22" t="s">
        <v>5472</v>
      </c>
      <c r="B154" s="22" t="s">
        <v>3458</v>
      </c>
      <c r="C154" s="22" t="s">
        <v>3459</v>
      </c>
      <c r="D154" s="23">
        <v>133.51</v>
      </c>
      <c r="E154" s="22"/>
    </row>
    <row r="155" spans="1:5" ht="15" customHeight="1" x14ac:dyDescent="0.35">
      <c r="A155" s="24" t="s">
        <v>5472</v>
      </c>
      <c r="B155" s="24" t="s">
        <v>3462</v>
      </c>
      <c r="C155" s="24" t="s">
        <v>3463</v>
      </c>
      <c r="D155" s="25">
        <v>47.06</v>
      </c>
      <c r="E155" s="24"/>
    </row>
    <row r="156" spans="1:5" ht="15" customHeight="1" x14ac:dyDescent="0.35">
      <c r="A156" s="22" t="s">
        <v>5472</v>
      </c>
      <c r="B156" s="22" t="s">
        <v>3466</v>
      </c>
      <c r="C156" s="22" t="s">
        <v>3467</v>
      </c>
      <c r="D156" s="23">
        <v>47.06</v>
      </c>
      <c r="E156" s="22"/>
    </row>
    <row r="157" spans="1:5" ht="15" customHeight="1" x14ac:dyDescent="0.35">
      <c r="A157" s="24" t="s">
        <v>5472</v>
      </c>
      <c r="B157" s="24" t="s">
        <v>3470</v>
      </c>
      <c r="C157" s="24" t="s">
        <v>3471</v>
      </c>
      <c r="D157" s="25">
        <v>47.06</v>
      </c>
      <c r="E157" s="24"/>
    </row>
    <row r="158" spans="1:5" ht="15" customHeight="1" x14ac:dyDescent="0.35">
      <c r="A158" s="22" t="s">
        <v>5472</v>
      </c>
      <c r="B158" s="22" t="s">
        <v>3474</v>
      </c>
      <c r="C158" s="22" t="s">
        <v>3475</v>
      </c>
      <c r="D158" s="23">
        <v>47.06</v>
      </c>
      <c r="E158" s="22"/>
    </row>
    <row r="159" spans="1:5" ht="15" customHeight="1" x14ac:dyDescent="0.35">
      <c r="A159" s="24" t="s">
        <v>5472</v>
      </c>
      <c r="B159" s="24" t="s">
        <v>3478</v>
      </c>
      <c r="C159" s="24" t="s">
        <v>3479</v>
      </c>
      <c r="D159" s="25">
        <v>47.06</v>
      </c>
      <c r="E159" s="24"/>
    </row>
    <row r="160" spans="1:5" ht="15" customHeight="1" x14ac:dyDescent="0.35">
      <c r="A160" s="22" t="s">
        <v>5472</v>
      </c>
      <c r="B160" s="22" t="s">
        <v>3482</v>
      </c>
      <c r="C160" s="22" t="s">
        <v>3483</v>
      </c>
      <c r="D160" s="23">
        <v>47.06</v>
      </c>
      <c r="E160" s="22"/>
    </row>
    <row r="161" spans="1:5" ht="15" customHeight="1" x14ac:dyDescent="0.35">
      <c r="A161" s="24" t="s">
        <v>5472</v>
      </c>
      <c r="B161" s="24" t="s">
        <v>3486</v>
      </c>
      <c r="C161" s="24" t="s">
        <v>3487</v>
      </c>
      <c r="D161" s="25">
        <v>47.06</v>
      </c>
      <c r="E161" s="24"/>
    </row>
    <row r="162" spans="1:5" ht="15" customHeight="1" x14ac:dyDescent="0.35">
      <c r="A162" s="22" t="s">
        <v>5473</v>
      </c>
      <c r="B162" s="22" t="s">
        <v>3490</v>
      </c>
      <c r="C162" s="22" t="s">
        <v>3491</v>
      </c>
      <c r="D162" s="23">
        <v>41.34</v>
      </c>
      <c r="E162" s="22"/>
    </row>
    <row r="163" spans="1:5" ht="15" customHeight="1" x14ac:dyDescent="0.35">
      <c r="A163" s="24" t="s">
        <v>5473</v>
      </c>
      <c r="B163" s="24" t="s">
        <v>3494</v>
      </c>
      <c r="C163" s="24" t="s">
        <v>3495</v>
      </c>
      <c r="D163" s="25">
        <v>41.34</v>
      </c>
      <c r="E163" s="24"/>
    </row>
    <row r="164" spans="1:5" ht="15" customHeight="1" x14ac:dyDescent="0.35">
      <c r="A164" s="22" t="s">
        <v>5473</v>
      </c>
      <c r="B164" s="22" t="s">
        <v>3498</v>
      </c>
      <c r="C164" s="22" t="s">
        <v>3499</v>
      </c>
      <c r="D164" s="23">
        <v>17.2</v>
      </c>
      <c r="E164" s="22"/>
    </row>
    <row r="165" spans="1:5" ht="15" customHeight="1" x14ac:dyDescent="0.35">
      <c r="A165" s="24" t="s">
        <v>5473</v>
      </c>
      <c r="B165" s="24" t="s">
        <v>3502</v>
      </c>
      <c r="C165" s="24" t="s">
        <v>3503</v>
      </c>
      <c r="D165" s="25">
        <v>18.52</v>
      </c>
      <c r="E165" s="24"/>
    </row>
    <row r="166" spans="1:5" ht="15" customHeight="1" x14ac:dyDescent="0.35">
      <c r="A166" s="22" t="s">
        <v>5473</v>
      </c>
      <c r="B166" s="22" t="s">
        <v>3506</v>
      </c>
      <c r="C166" s="22" t="s">
        <v>3507</v>
      </c>
      <c r="D166" s="23">
        <v>148.84</v>
      </c>
      <c r="E166" s="22"/>
    </row>
    <row r="167" spans="1:5" ht="15" customHeight="1" x14ac:dyDescent="0.35">
      <c r="A167" s="24" t="s">
        <v>5474</v>
      </c>
      <c r="B167" s="24" t="s">
        <v>3510</v>
      </c>
      <c r="C167" s="24" t="s">
        <v>3511</v>
      </c>
      <c r="D167" s="25">
        <v>64.790000000000006</v>
      </c>
      <c r="E167" s="24"/>
    </row>
    <row r="168" spans="1:5" ht="15" customHeight="1" x14ac:dyDescent="0.35">
      <c r="A168" s="22" t="s">
        <v>5474</v>
      </c>
      <c r="B168" s="22" t="s">
        <v>3514</v>
      </c>
      <c r="C168" s="22" t="s">
        <v>3515</v>
      </c>
      <c r="D168" s="23">
        <v>64.790000000000006</v>
      </c>
      <c r="E168" s="22"/>
    </row>
    <row r="169" spans="1:5" ht="15" customHeight="1" x14ac:dyDescent="0.35">
      <c r="A169" s="24" t="s">
        <v>5474</v>
      </c>
      <c r="B169" s="24" t="s">
        <v>3518</v>
      </c>
      <c r="C169" s="24" t="s">
        <v>3519</v>
      </c>
      <c r="D169" s="25">
        <v>25.86</v>
      </c>
      <c r="E169" s="24"/>
    </row>
    <row r="170" spans="1:5" ht="15" customHeight="1" x14ac:dyDescent="0.35">
      <c r="A170" s="22" t="s">
        <v>5474</v>
      </c>
      <c r="B170" s="22" t="s">
        <v>3522</v>
      </c>
      <c r="C170" s="22" t="s">
        <v>3523</v>
      </c>
      <c r="D170" s="23">
        <v>158.05000000000001</v>
      </c>
      <c r="E170" s="22"/>
    </row>
    <row r="171" spans="1:5" ht="15" customHeight="1" x14ac:dyDescent="0.35">
      <c r="A171" s="24" t="s">
        <v>5474</v>
      </c>
      <c r="B171" s="24" t="s">
        <v>3526</v>
      </c>
      <c r="C171" s="24" t="s">
        <v>3527</v>
      </c>
      <c r="D171" s="25">
        <v>64.790000000000006</v>
      </c>
      <c r="E171" s="24"/>
    </row>
    <row r="172" spans="1:5" ht="15" customHeight="1" x14ac:dyDescent="0.35">
      <c r="A172" s="22" t="s">
        <v>5474</v>
      </c>
      <c r="B172" s="22" t="s">
        <v>3530</v>
      </c>
      <c r="C172" s="22" t="s">
        <v>3531</v>
      </c>
      <c r="D172" s="23">
        <v>71.849999999999994</v>
      </c>
      <c r="E172" s="22"/>
    </row>
    <row r="173" spans="1:5" ht="15" customHeight="1" x14ac:dyDescent="0.35">
      <c r="A173" s="24" t="s">
        <v>5474</v>
      </c>
      <c r="B173" s="24" t="s">
        <v>3534</v>
      </c>
      <c r="C173" s="24" t="s">
        <v>3535</v>
      </c>
      <c r="D173" s="25">
        <v>50.15</v>
      </c>
      <c r="E173" s="24"/>
    </row>
    <row r="174" spans="1:5" ht="15" customHeight="1" x14ac:dyDescent="0.35">
      <c r="A174" s="22" t="s">
        <v>5474</v>
      </c>
      <c r="B174" s="22" t="s">
        <v>3538</v>
      </c>
      <c r="C174" s="22" t="s">
        <v>3539</v>
      </c>
      <c r="D174" s="23">
        <v>466.67</v>
      </c>
      <c r="E174" s="22"/>
    </row>
    <row r="175" spans="1:5" ht="15" customHeight="1" x14ac:dyDescent="0.35">
      <c r="A175" s="24" t="s">
        <v>5474</v>
      </c>
      <c r="B175" s="24" t="s">
        <v>3542</v>
      </c>
      <c r="C175" s="24" t="s">
        <v>3543</v>
      </c>
      <c r="D175" s="25">
        <v>646.57000000000005</v>
      </c>
      <c r="E175" s="24"/>
    </row>
    <row r="176" spans="1:5" ht="15" customHeight="1" x14ac:dyDescent="0.35">
      <c r="A176" s="22" t="s">
        <v>5474</v>
      </c>
      <c r="B176" s="22" t="s">
        <v>3546</v>
      </c>
      <c r="C176" s="22" t="s">
        <v>3547</v>
      </c>
      <c r="D176" s="23">
        <v>118.38</v>
      </c>
      <c r="E176" s="22"/>
    </row>
    <row r="177" spans="1:5" ht="15" customHeight="1" x14ac:dyDescent="0.35">
      <c r="A177" s="24" t="s">
        <v>5474</v>
      </c>
      <c r="B177" s="24" t="s">
        <v>3550</v>
      </c>
      <c r="C177" s="24" t="s">
        <v>3551</v>
      </c>
      <c r="D177" s="25">
        <v>403.48</v>
      </c>
      <c r="E177" s="24"/>
    </row>
    <row r="178" spans="1:5" ht="15" customHeight="1" x14ac:dyDescent="0.35">
      <c r="A178" s="22" t="s">
        <v>5474</v>
      </c>
      <c r="B178" s="22" t="s">
        <v>3554</v>
      </c>
      <c r="C178" s="22" t="s">
        <v>3555</v>
      </c>
      <c r="D178" s="23">
        <v>4874</v>
      </c>
      <c r="E178" s="22"/>
    </row>
    <row r="179" spans="1:5" ht="15" customHeight="1" x14ac:dyDescent="0.35">
      <c r="A179" s="24" t="s">
        <v>5474</v>
      </c>
      <c r="B179" s="24" t="s">
        <v>5475</v>
      </c>
      <c r="C179" s="24" t="s">
        <v>5476</v>
      </c>
      <c r="D179" s="24"/>
      <c r="E179" s="24" t="s">
        <v>5477</v>
      </c>
    </row>
    <row r="180" spans="1:5" ht="15" customHeight="1" x14ac:dyDescent="0.35">
      <c r="A180" s="22" t="s">
        <v>5474</v>
      </c>
      <c r="B180" s="22" t="s">
        <v>5478</v>
      </c>
      <c r="C180" s="22" t="s">
        <v>5479</v>
      </c>
      <c r="D180" s="22"/>
      <c r="E180" s="22" t="s">
        <v>5477</v>
      </c>
    </row>
    <row r="181" spans="1:5" ht="15" customHeight="1" x14ac:dyDescent="0.35">
      <c r="A181" s="24" t="s">
        <v>5474</v>
      </c>
      <c r="B181" s="24" t="s">
        <v>5480</v>
      </c>
      <c r="C181" s="24" t="s">
        <v>5481</v>
      </c>
      <c r="D181" s="24"/>
      <c r="E181" s="24" t="s">
        <v>5477</v>
      </c>
    </row>
    <row r="182" spans="1:5" ht="15" customHeight="1" x14ac:dyDescent="0.35">
      <c r="A182" s="22" t="s">
        <v>5474</v>
      </c>
      <c r="B182" s="22" t="s">
        <v>5482</v>
      </c>
      <c r="C182" s="22" t="s">
        <v>5483</v>
      </c>
      <c r="D182" s="22"/>
      <c r="E182" s="22" t="s">
        <v>5477</v>
      </c>
    </row>
    <row r="183" spans="1:5" ht="15" customHeight="1" x14ac:dyDescent="0.35">
      <c r="A183" s="24" t="s">
        <v>5474</v>
      </c>
      <c r="B183" s="24" t="s">
        <v>5484</v>
      </c>
      <c r="C183" s="24" t="s">
        <v>5485</v>
      </c>
      <c r="D183" s="24"/>
      <c r="E183" s="24" t="s">
        <v>5477</v>
      </c>
    </row>
    <row r="184" spans="1:5" ht="15" customHeight="1" x14ac:dyDescent="0.35">
      <c r="A184" s="22" t="s">
        <v>5474</v>
      </c>
      <c r="B184" s="22" t="s">
        <v>5486</v>
      </c>
      <c r="C184" s="22" t="s">
        <v>5487</v>
      </c>
      <c r="D184" s="22"/>
      <c r="E184" s="22" t="s">
        <v>5477</v>
      </c>
    </row>
    <row r="185" spans="1:5" ht="15" customHeight="1" x14ac:dyDescent="0.35">
      <c r="A185" s="24" t="s">
        <v>5474</v>
      </c>
      <c r="B185" s="24" t="s">
        <v>3558</v>
      </c>
      <c r="C185" s="24" t="s">
        <v>3559</v>
      </c>
      <c r="D185" s="25">
        <v>1252.5</v>
      </c>
      <c r="E185" s="24"/>
    </row>
    <row r="186" spans="1:5" ht="15" customHeight="1" x14ac:dyDescent="0.35">
      <c r="A186" s="22" t="s">
        <v>5474</v>
      </c>
      <c r="B186" s="22" t="s">
        <v>3562</v>
      </c>
      <c r="C186" s="22" t="s">
        <v>3563</v>
      </c>
      <c r="D186" s="23">
        <v>447.32</v>
      </c>
      <c r="E186" s="22"/>
    </row>
    <row r="187" spans="1:5" ht="15" customHeight="1" x14ac:dyDescent="0.35">
      <c r="A187" s="24" t="s">
        <v>5474</v>
      </c>
      <c r="B187" s="24" t="s">
        <v>3566</v>
      </c>
      <c r="C187" s="24" t="s">
        <v>3567</v>
      </c>
      <c r="D187" s="25">
        <v>251.52</v>
      </c>
      <c r="E187" s="24"/>
    </row>
    <row r="188" spans="1:5" ht="15" customHeight="1" x14ac:dyDescent="0.35">
      <c r="A188" s="22" t="s">
        <v>5474</v>
      </c>
      <c r="B188" s="22" t="s">
        <v>3570</v>
      </c>
      <c r="C188" s="22" t="s">
        <v>3571</v>
      </c>
      <c r="D188" s="23">
        <v>270.5</v>
      </c>
      <c r="E188" s="22"/>
    </row>
    <row r="189" spans="1:5" ht="15" customHeight="1" x14ac:dyDescent="0.35">
      <c r="A189" s="24" t="s">
        <v>5474</v>
      </c>
      <c r="B189" s="24" t="s">
        <v>3574</v>
      </c>
      <c r="C189" s="24" t="s">
        <v>3575</v>
      </c>
      <c r="D189" s="25">
        <v>242.02</v>
      </c>
      <c r="E189" s="24"/>
    </row>
    <row r="190" spans="1:5" ht="15" customHeight="1" x14ac:dyDescent="0.35">
      <c r="A190" s="22" t="s">
        <v>5474</v>
      </c>
      <c r="B190" s="22" t="s">
        <v>791</v>
      </c>
      <c r="C190" s="22" t="s">
        <v>3578</v>
      </c>
      <c r="D190" s="23">
        <v>1053.31</v>
      </c>
      <c r="E190" s="22"/>
    </row>
    <row r="191" spans="1:5" ht="15" customHeight="1" x14ac:dyDescent="0.35">
      <c r="A191" s="24" t="s">
        <v>5474</v>
      </c>
      <c r="B191" s="24" t="s">
        <v>3581</v>
      </c>
      <c r="C191" s="24" t="s">
        <v>3582</v>
      </c>
      <c r="D191" s="25">
        <v>359.21</v>
      </c>
      <c r="E191" s="24"/>
    </row>
    <row r="192" spans="1:5" ht="15" customHeight="1" x14ac:dyDescent="0.35">
      <c r="A192" s="22" t="s">
        <v>5474</v>
      </c>
      <c r="B192" s="22" t="s">
        <v>3585</v>
      </c>
      <c r="C192" s="22" t="s">
        <v>3586</v>
      </c>
      <c r="D192" s="23">
        <v>478.59</v>
      </c>
      <c r="E192" s="22"/>
    </row>
    <row r="193" spans="1:5" ht="15" customHeight="1" x14ac:dyDescent="0.35">
      <c r="A193" s="24" t="s">
        <v>5474</v>
      </c>
      <c r="B193" s="24" t="s">
        <v>787</v>
      </c>
      <c r="C193" s="24" t="s">
        <v>3589</v>
      </c>
      <c r="D193" s="25">
        <v>478.59</v>
      </c>
      <c r="E193" s="24"/>
    </row>
    <row r="194" spans="1:5" ht="15" customHeight="1" x14ac:dyDescent="0.35">
      <c r="A194" s="22" t="s">
        <v>5474</v>
      </c>
      <c r="B194" s="22" t="s">
        <v>779</v>
      </c>
      <c r="C194" s="22" t="s">
        <v>3592</v>
      </c>
      <c r="D194" s="23">
        <v>992.71</v>
      </c>
      <c r="E194" s="22"/>
    </row>
    <row r="195" spans="1:5" ht="15" customHeight="1" x14ac:dyDescent="0.35">
      <c r="A195" s="24" t="s">
        <v>5474</v>
      </c>
      <c r="B195" s="24" t="s">
        <v>783</v>
      </c>
      <c r="C195" s="24" t="s">
        <v>3595</v>
      </c>
      <c r="D195" s="25">
        <v>1023.02</v>
      </c>
      <c r="E195" s="24"/>
    </row>
    <row r="196" spans="1:5" ht="15" customHeight="1" x14ac:dyDescent="0.35">
      <c r="A196" s="22" t="s">
        <v>5474</v>
      </c>
      <c r="B196" s="22" t="s">
        <v>3598</v>
      </c>
      <c r="C196" s="22" t="s">
        <v>3599</v>
      </c>
      <c r="D196" s="23">
        <v>92.14</v>
      </c>
      <c r="E196" s="22"/>
    </row>
    <row r="197" spans="1:5" ht="15" customHeight="1" x14ac:dyDescent="0.35">
      <c r="A197" s="24" t="s">
        <v>5474</v>
      </c>
      <c r="B197" s="24" t="s">
        <v>3602</v>
      </c>
      <c r="C197" s="24" t="s">
        <v>3603</v>
      </c>
      <c r="D197" s="25">
        <v>37.36</v>
      </c>
      <c r="E197" s="24"/>
    </row>
    <row r="198" spans="1:5" ht="15" customHeight="1" x14ac:dyDescent="0.35">
      <c r="A198" s="22" t="s">
        <v>5474</v>
      </c>
      <c r="B198" s="22" t="s">
        <v>3606</v>
      </c>
      <c r="C198" s="22" t="s">
        <v>3607</v>
      </c>
      <c r="D198" s="23">
        <v>37.36</v>
      </c>
      <c r="E198" s="22"/>
    </row>
    <row r="199" spans="1:5" ht="15" customHeight="1" x14ac:dyDescent="0.35">
      <c r="A199" s="24" t="s">
        <v>5474</v>
      </c>
      <c r="B199" s="24" t="s">
        <v>3610</v>
      </c>
      <c r="C199" s="24" t="s">
        <v>3611</v>
      </c>
      <c r="D199" s="25">
        <v>11.49</v>
      </c>
      <c r="E199" s="24"/>
    </row>
    <row r="200" spans="1:5" ht="15" customHeight="1" x14ac:dyDescent="0.35">
      <c r="A200" s="22" t="s">
        <v>5474</v>
      </c>
      <c r="B200" s="22" t="s">
        <v>3614</v>
      </c>
      <c r="C200" s="22" t="s">
        <v>3615</v>
      </c>
      <c r="D200" s="23">
        <v>99.27</v>
      </c>
      <c r="E200" s="22"/>
    </row>
    <row r="201" spans="1:5" ht="15" customHeight="1" x14ac:dyDescent="0.35">
      <c r="A201" s="24" t="s">
        <v>5474</v>
      </c>
      <c r="B201" s="24" t="s">
        <v>3618</v>
      </c>
      <c r="C201" s="24" t="s">
        <v>3619</v>
      </c>
      <c r="D201" s="25">
        <v>37.36</v>
      </c>
      <c r="E201" s="24"/>
    </row>
    <row r="202" spans="1:5" ht="15" customHeight="1" x14ac:dyDescent="0.35">
      <c r="A202" s="22" t="s">
        <v>5474</v>
      </c>
      <c r="B202" s="22" t="s">
        <v>3622</v>
      </c>
      <c r="C202" s="22" t="s">
        <v>3623</v>
      </c>
      <c r="D202" s="23">
        <v>37.36</v>
      </c>
      <c r="E202" s="22"/>
    </row>
    <row r="203" spans="1:5" ht="15" customHeight="1" x14ac:dyDescent="0.35">
      <c r="A203" s="24" t="s">
        <v>5474</v>
      </c>
      <c r="B203" s="24" t="s">
        <v>3626</v>
      </c>
      <c r="C203" s="24" t="s">
        <v>3627</v>
      </c>
      <c r="D203" s="25">
        <v>50.15</v>
      </c>
      <c r="E203" s="24"/>
    </row>
    <row r="204" spans="1:5" ht="15" customHeight="1" x14ac:dyDescent="0.35">
      <c r="A204" s="22" t="s">
        <v>5474</v>
      </c>
      <c r="B204" s="22" t="s">
        <v>3630</v>
      </c>
      <c r="C204" s="22" t="s">
        <v>3631</v>
      </c>
      <c r="D204" s="23">
        <v>28.74</v>
      </c>
      <c r="E204" s="22"/>
    </row>
    <row r="205" spans="1:5" ht="15" customHeight="1" x14ac:dyDescent="0.35">
      <c r="A205" s="24" t="s">
        <v>5474</v>
      </c>
      <c r="B205" s="24" t="s">
        <v>3634</v>
      </c>
      <c r="C205" s="24" t="s">
        <v>3635</v>
      </c>
      <c r="D205" s="25">
        <v>36.049999999999997</v>
      </c>
      <c r="E205" s="24"/>
    </row>
    <row r="206" spans="1:5" ht="15" customHeight="1" x14ac:dyDescent="0.35">
      <c r="A206" s="22" t="s">
        <v>5474</v>
      </c>
      <c r="B206" s="22" t="s">
        <v>3638</v>
      </c>
      <c r="C206" s="22" t="s">
        <v>3639</v>
      </c>
      <c r="D206" s="23">
        <v>143.69</v>
      </c>
      <c r="E206" s="22"/>
    </row>
    <row r="207" spans="1:5" ht="15" customHeight="1" x14ac:dyDescent="0.35">
      <c r="A207" s="24" t="s">
        <v>5474</v>
      </c>
      <c r="B207" s="24" t="s">
        <v>3642</v>
      </c>
      <c r="C207" s="24" t="s">
        <v>3643</v>
      </c>
      <c r="D207" s="25">
        <v>114.94</v>
      </c>
      <c r="E207" s="24"/>
    </row>
    <row r="208" spans="1:5" ht="15" customHeight="1" x14ac:dyDescent="0.35">
      <c r="A208" s="22" t="s">
        <v>5474</v>
      </c>
      <c r="B208" s="22" t="s">
        <v>3646</v>
      </c>
      <c r="C208" s="22" t="s">
        <v>3647</v>
      </c>
      <c r="D208" s="23">
        <v>13.58</v>
      </c>
      <c r="E208" s="22"/>
    </row>
    <row r="209" spans="1:5" ht="15" customHeight="1" x14ac:dyDescent="0.35">
      <c r="A209" s="24" t="s">
        <v>5474</v>
      </c>
      <c r="B209" s="24" t="s">
        <v>3650</v>
      </c>
      <c r="C209" s="24" t="s">
        <v>3651</v>
      </c>
      <c r="D209" s="25">
        <v>13.58</v>
      </c>
      <c r="E209" s="24"/>
    </row>
    <row r="210" spans="1:5" ht="15" customHeight="1" x14ac:dyDescent="0.35">
      <c r="A210" s="22" t="s">
        <v>5474</v>
      </c>
      <c r="B210" s="22" t="s">
        <v>3654</v>
      </c>
      <c r="C210" s="22" t="s">
        <v>3655</v>
      </c>
      <c r="D210" s="23">
        <v>17.239999999999998</v>
      </c>
      <c r="E210" s="22"/>
    </row>
    <row r="211" spans="1:5" ht="15" customHeight="1" x14ac:dyDescent="0.35">
      <c r="A211" s="24" t="s">
        <v>5474</v>
      </c>
      <c r="B211" s="24" t="s">
        <v>3658</v>
      </c>
      <c r="C211" s="24" t="s">
        <v>3659</v>
      </c>
      <c r="D211" s="25">
        <v>107.36</v>
      </c>
      <c r="E211" s="24"/>
    </row>
    <row r="212" spans="1:5" ht="15" customHeight="1" x14ac:dyDescent="0.35">
      <c r="A212" s="22" t="s">
        <v>5474</v>
      </c>
      <c r="B212" s="22" t="s">
        <v>3662</v>
      </c>
      <c r="C212" s="22" t="s">
        <v>3663</v>
      </c>
      <c r="D212" s="23">
        <v>287.37</v>
      </c>
      <c r="E212" s="22"/>
    </row>
    <row r="213" spans="1:5" ht="15" customHeight="1" x14ac:dyDescent="0.35">
      <c r="A213" s="24" t="s">
        <v>5474</v>
      </c>
      <c r="B213" s="24" t="s">
        <v>3666</v>
      </c>
      <c r="C213" s="24" t="s">
        <v>3667</v>
      </c>
      <c r="D213" s="25">
        <v>114.94</v>
      </c>
      <c r="E213" s="24"/>
    </row>
    <row r="214" spans="1:5" ht="15" customHeight="1" x14ac:dyDescent="0.35">
      <c r="A214" s="22" t="s">
        <v>5474</v>
      </c>
      <c r="B214" s="22" t="s">
        <v>3670</v>
      </c>
      <c r="C214" s="22" t="s">
        <v>3671</v>
      </c>
      <c r="D214" s="23">
        <v>67.930000000000007</v>
      </c>
      <c r="E214" s="22"/>
    </row>
    <row r="215" spans="1:5" ht="15" customHeight="1" x14ac:dyDescent="0.35">
      <c r="A215" s="24" t="s">
        <v>5474</v>
      </c>
      <c r="B215" s="24" t="s">
        <v>3674</v>
      </c>
      <c r="C215" s="24" t="s">
        <v>3675</v>
      </c>
      <c r="D215" s="25">
        <v>339.09</v>
      </c>
      <c r="E215" s="24"/>
    </row>
    <row r="216" spans="1:5" ht="15" customHeight="1" x14ac:dyDescent="0.35">
      <c r="A216" s="22" t="s">
        <v>5474</v>
      </c>
      <c r="B216" s="22" t="s">
        <v>3678</v>
      </c>
      <c r="C216" s="22" t="s">
        <v>3679</v>
      </c>
      <c r="D216" s="23">
        <v>396.04</v>
      </c>
      <c r="E216" s="22"/>
    </row>
    <row r="217" spans="1:5" ht="15" customHeight="1" x14ac:dyDescent="0.35">
      <c r="A217" s="24" t="s">
        <v>5474</v>
      </c>
      <c r="B217" s="24" t="s">
        <v>3682</v>
      </c>
      <c r="C217" s="24" t="s">
        <v>3683</v>
      </c>
      <c r="D217" s="25">
        <v>467.1</v>
      </c>
      <c r="E217" s="24"/>
    </row>
    <row r="218" spans="1:5" ht="15" customHeight="1" x14ac:dyDescent="0.35">
      <c r="A218" s="22" t="s">
        <v>5474</v>
      </c>
      <c r="B218" s="22" t="s">
        <v>3686</v>
      </c>
      <c r="C218" s="22" t="s">
        <v>3687</v>
      </c>
      <c r="D218" s="23">
        <v>14.38</v>
      </c>
      <c r="E218" s="22"/>
    </row>
    <row r="219" spans="1:5" ht="15" customHeight="1" x14ac:dyDescent="0.35">
      <c r="A219" s="24" t="s">
        <v>5474</v>
      </c>
      <c r="B219" s="24" t="s">
        <v>3690</v>
      </c>
      <c r="C219" s="24" t="s">
        <v>3691</v>
      </c>
      <c r="D219" s="25">
        <v>64.790000000000006</v>
      </c>
      <c r="E219" s="24"/>
    </row>
    <row r="220" spans="1:5" ht="15" customHeight="1" x14ac:dyDescent="0.35">
      <c r="A220" s="22" t="s">
        <v>5474</v>
      </c>
      <c r="B220" s="22" t="s">
        <v>3694</v>
      </c>
      <c r="C220" s="22" t="s">
        <v>3695</v>
      </c>
      <c r="D220" s="23">
        <v>790.25</v>
      </c>
      <c r="E220" s="22"/>
    </row>
    <row r="221" spans="1:5" ht="15" customHeight="1" x14ac:dyDescent="0.35">
      <c r="A221" s="24" t="s">
        <v>5474</v>
      </c>
      <c r="B221" s="24" t="s">
        <v>3698</v>
      </c>
      <c r="C221" s="24" t="s">
        <v>3699</v>
      </c>
      <c r="D221" s="25">
        <v>568.46</v>
      </c>
      <c r="E221" s="24"/>
    </row>
    <row r="222" spans="1:5" ht="15" customHeight="1" x14ac:dyDescent="0.35">
      <c r="A222" s="22" t="s">
        <v>5474</v>
      </c>
      <c r="B222" s="22" t="s">
        <v>3702</v>
      </c>
      <c r="C222" s="22" t="s">
        <v>3703</v>
      </c>
      <c r="D222" s="23">
        <v>568.46</v>
      </c>
      <c r="E222" s="22"/>
    </row>
    <row r="223" spans="1:5" ht="15" customHeight="1" x14ac:dyDescent="0.35">
      <c r="A223" s="24" t="s">
        <v>5474</v>
      </c>
      <c r="B223" s="24" t="s">
        <v>3706</v>
      </c>
      <c r="C223" s="24" t="s">
        <v>3707</v>
      </c>
      <c r="D223" s="25">
        <v>474.16</v>
      </c>
      <c r="E223" s="24"/>
    </row>
    <row r="224" spans="1:5" ht="15" customHeight="1" x14ac:dyDescent="0.35">
      <c r="A224" s="22" t="s">
        <v>5474</v>
      </c>
      <c r="B224" s="22" t="s">
        <v>3710</v>
      </c>
      <c r="C224" s="22" t="s">
        <v>3711</v>
      </c>
      <c r="D224" s="23">
        <v>92.14</v>
      </c>
      <c r="E224" s="22"/>
    </row>
    <row r="225" spans="1:5" ht="15" customHeight="1" x14ac:dyDescent="0.35">
      <c r="A225" s="24" t="s">
        <v>5474</v>
      </c>
      <c r="B225" s="24" t="s">
        <v>3714</v>
      </c>
      <c r="C225" s="24" t="s">
        <v>3715</v>
      </c>
      <c r="D225" s="25">
        <v>80.62</v>
      </c>
      <c r="E225" s="24"/>
    </row>
    <row r="226" spans="1:5" ht="15" customHeight="1" x14ac:dyDescent="0.35">
      <c r="A226" s="22" t="s">
        <v>5474</v>
      </c>
      <c r="B226" s="22" t="s">
        <v>3718</v>
      </c>
      <c r="C226" s="22" t="s">
        <v>3719</v>
      </c>
      <c r="D226" s="23">
        <v>80.62</v>
      </c>
      <c r="E226" s="22"/>
    </row>
    <row r="227" spans="1:5" ht="15" customHeight="1" x14ac:dyDescent="0.35">
      <c r="A227" s="24" t="s">
        <v>5474</v>
      </c>
      <c r="B227" s="24" t="s">
        <v>3722</v>
      </c>
      <c r="C227" s="24" t="s">
        <v>3723</v>
      </c>
      <c r="D227" s="25">
        <v>250.78</v>
      </c>
      <c r="E227" s="24"/>
    </row>
    <row r="228" spans="1:5" ht="15" customHeight="1" x14ac:dyDescent="0.35">
      <c r="A228" s="22" t="s">
        <v>5474</v>
      </c>
      <c r="B228" s="22" t="s">
        <v>3726</v>
      </c>
      <c r="C228" s="22" t="s">
        <v>3727</v>
      </c>
      <c r="D228" s="23">
        <v>135.84</v>
      </c>
      <c r="E228" s="22"/>
    </row>
    <row r="229" spans="1:5" ht="15" customHeight="1" x14ac:dyDescent="0.35">
      <c r="A229" s="24" t="s">
        <v>5474</v>
      </c>
      <c r="B229" s="24" t="s">
        <v>3730</v>
      </c>
      <c r="C229" s="24" t="s">
        <v>3731</v>
      </c>
      <c r="D229" s="25">
        <v>92.14</v>
      </c>
      <c r="E229" s="24"/>
    </row>
    <row r="230" spans="1:5" ht="15" customHeight="1" x14ac:dyDescent="0.35">
      <c r="A230" s="22" t="s">
        <v>5474</v>
      </c>
      <c r="B230" s="22" t="s">
        <v>3734</v>
      </c>
      <c r="C230" s="22" t="s">
        <v>3735</v>
      </c>
      <c r="D230" s="23">
        <v>80.62</v>
      </c>
      <c r="E230" s="22"/>
    </row>
    <row r="231" spans="1:5" ht="15" customHeight="1" x14ac:dyDescent="0.35">
      <c r="A231" s="24" t="s">
        <v>5474</v>
      </c>
      <c r="B231" s="24" t="s">
        <v>3738</v>
      </c>
      <c r="C231" s="24" t="s">
        <v>3739</v>
      </c>
      <c r="D231" s="25">
        <v>80.62</v>
      </c>
      <c r="E231" s="24"/>
    </row>
    <row r="232" spans="1:5" ht="15" customHeight="1" x14ac:dyDescent="0.35">
      <c r="A232" s="22" t="s">
        <v>5474</v>
      </c>
      <c r="B232" s="22" t="s">
        <v>3742</v>
      </c>
      <c r="C232" s="22" t="s">
        <v>3743</v>
      </c>
      <c r="D232" s="23">
        <v>22.99</v>
      </c>
      <c r="E232" s="22"/>
    </row>
    <row r="233" spans="1:5" ht="15" customHeight="1" x14ac:dyDescent="0.35">
      <c r="A233" s="24" t="s">
        <v>5474</v>
      </c>
      <c r="B233" s="24" t="s">
        <v>3746</v>
      </c>
      <c r="C233" s="24" t="s">
        <v>3747</v>
      </c>
      <c r="D233" s="25">
        <v>8.7899999999999991</v>
      </c>
      <c r="E233" s="24"/>
    </row>
    <row r="234" spans="1:5" ht="15" customHeight="1" x14ac:dyDescent="0.35">
      <c r="A234" s="22" t="s">
        <v>5474</v>
      </c>
      <c r="B234" s="22" t="s">
        <v>3750</v>
      </c>
      <c r="C234" s="22" t="s">
        <v>3751</v>
      </c>
      <c r="D234" s="23">
        <v>8.7899999999999991</v>
      </c>
      <c r="E234" s="22"/>
    </row>
    <row r="235" spans="1:5" ht="15" customHeight="1" x14ac:dyDescent="0.35">
      <c r="A235" s="24" t="s">
        <v>5474</v>
      </c>
      <c r="B235" s="24" t="s">
        <v>3754</v>
      </c>
      <c r="C235" s="24" t="s">
        <v>3755</v>
      </c>
      <c r="D235" s="25">
        <v>143.69</v>
      </c>
      <c r="E235" s="24"/>
    </row>
    <row r="236" spans="1:5" ht="15" customHeight="1" x14ac:dyDescent="0.35">
      <c r="A236" s="22" t="s">
        <v>5474</v>
      </c>
      <c r="B236" s="22" t="s">
        <v>3758</v>
      </c>
      <c r="C236" s="22" t="s">
        <v>3759</v>
      </c>
      <c r="D236" s="23">
        <v>86.38</v>
      </c>
      <c r="E236" s="22"/>
    </row>
    <row r="237" spans="1:5" ht="15" customHeight="1" x14ac:dyDescent="0.35">
      <c r="A237" s="24" t="s">
        <v>5474</v>
      </c>
      <c r="B237" s="24" t="s">
        <v>3762</v>
      </c>
      <c r="C237" s="24" t="s">
        <v>3763</v>
      </c>
      <c r="D237" s="25">
        <v>86.38</v>
      </c>
      <c r="E237" s="24"/>
    </row>
    <row r="238" spans="1:5" ht="15" customHeight="1" x14ac:dyDescent="0.35">
      <c r="A238" s="22" t="s">
        <v>5474</v>
      </c>
      <c r="B238" s="22" t="s">
        <v>3766</v>
      </c>
      <c r="C238" s="22" t="s">
        <v>3767</v>
      </c>
      <c r="D238" s="23">
        <v>107.62</v>
      </c>
      <c r="E238" s="22"/>
    </row>
    <row r="239" spans="1:5" ht="15" customHeight="1" x14ac:dyDescent="0.35">
      <c r="A239" s="24" t="s">
        <v>5474</v>
      </c>
      <c r="B239" s="24" t="s">
        <v>3770</v>
      </c>
      <c r="C239" s="24" t="s">
        <v>3771</v>
      </c>
      <c r="D239" s="25">
        <v>301.74</v>
      </c>
      <c r="E239" s="24"/>
    </row>
    <row r="240" spans="1:5" ht="15" customHeight="1" x14ac:dyDescent="0.35">
      <c r="A240" s="22" t="s">
        <v>5474</v>
      </c>
      <c r="B240" s="22" t="s">
        <v>3774</v>
      </c>
      <c r="C240" s="22" t="s">
        <v>3775</v>
      </c>
      <c r="D240" s="23">
        <v>107.62</v>
      </c>
      <c r="E240" s="22"/>
    </row>
    <row r="241" spans="1:5" ht="15" customHeight="1" x14ac:dyDescent="0.35">
      <c r="A241" s="24" t="s">
        <v>5474</v>
      </c>
      <c r="B241" s="24" t="s">
        <v>3778</v>
      </c>
      <c r="C241" s="24" t="s">
        <v>3779</v>
      </c>
      <c r="D241" s="25">
        <v>86.21</v>
      </c>
      <c r="E241" s="24"/>
    </row>
    <row r="242" spans="1:5" ht="15" customHeight="1" x14ac:dyDescent="0.35">
      <c r="A242" s="22" t="s">
        <v>5474</v>
      </c>
      <c r="B242" s="22" t="s">
        <v>3782</v>
      </c>
      <c r="C242" s="22" t="s">
        <v>3783</v>
      </c>
      <c r="D242" s="23">
        <v>107.62</v>
      </c>
      <c r="E242" s="22"/>
    </row>
    <row r="243" spans="1:5" ht="15" customHeight="1" x14ac:dyDescent="0.35">
      <c r="A243" s="24" t="s">
        <v>5474</v>
      </c>
      <c r="B243" s="24" t="s">
        <v>3786</v>
      </c>
      <c r="C243" s="24" t="s">
        <v>3787</v>
      </c>
      <c r="D243" s="25">
        <v>43.1</v>
      </c>
      <c r="E243" s="24"/>
    </row>
    <row r="244" spans="1:5" ht="15" customHeight="1" x14ac:dyDescent="0.35">
      <c r="A244" s="22" t="s">
        <v>5474</v>
      </c>
      <c r="B244" s="22" t="s">
        <v>3790</v>
      </c>
      <c r="C244" s="22" t="s">
        <v>3791</v>
      </c>
      <c r="D244" s="23">
        <v>50.15</v>
      </c>
      <c r="E244" s="22"/>
    </row>
    <row r="245" spans="1:5" ht="15" customHeight="1" x14ac:dyDescent="0.35">
      <c r="A245" s="24" t="s">
        <v>5474</v>
      </c>
      <c r="B245" s="24" t="s">
        <v>3794</v>
      </c>
      <c r="C245" s="24" t="s">
        <v>3795</v>
      </c>
      <c r="D245" s="25">
        <v>1436.82</v>
      </c>
      <c r="E245" s="24"/>
    </row>
    <row r="246" spans="1:5" ht="15" customHeight="1" x14ac:dyDescent="0.35">
      <c r="A246" s="22" t="s">
        <v>5474</v>
      </c>
      <c r="B246" s="22" t="s">
        <v>3798</v>
      </c>
      <c r="C246" s="22" t="s">
        <v>3799</v>
      </c>
      <c r="D246" s="23">
        <v>92.14</v>
      </c>
      <c r="E246" s="22"/>
    </row>
    <row r="247" spans="1:5" ht="15" customHeight="1" x14ac:dyDescent="0.35">
      <c r="A247" s="24" t="s">
        <v>5474</v>
      </c>
      <c r="B247" s="24" t="s">
        <v>3802</v>
      </c>
      <c r="C247" s="24" t="s">
        <v>3803</v>
      </c>
      <c r="D247" s="25">
        <v>85.25</v>
      </c>
      <c r="E247" s="24"/>
    </row>
    <row r="248" spans="1:5" ht="15" customHeight="1" x14ac:dyDescent="0.35">
      <c r="A248" s="22" t="s">
        <v>5474</v>
      </c>
      <c r="B248" s="22" t="s">
        <v>3806</v>
      </c>
      <c r="C248" s="22" t="s">
        <v>3807</v>
      </c>
      <c r="D248" s="23">
        <v>80.62</v>
      </c>
      <c r="E248" s="22"/>
    </row>
    <row r="249" spans="1:5" ht="15" customHeight="1" x14ac:dyDescent="0.35">
      <c r="A249" s="24" t="s">
        <v>5474</v>
      </c>
      <c r="B249" s="24" t="s">
        <v>3810</v>
      </c>
      <c r="C249" s="24" t="s">
        <v>3811</v>
      </c>
      <c r="D249" s="25">
        <v>244.26</v>
      </c>
      <c r="E249" s="24"/>
    </row>
    <row r="250" spans="1:5" ht="15" customHeight="1" x14ac:dyDescent="0.35">
      <c r="A250" s="22" t="s">
        <v>5474</v>
      </c>
      <c r="B250" s="22" t="s">
        <v>3814</v>
      </c>
      <c r="C250" s="22" t="s">
        <v>3815</v>
      </c>
      <c r="D250" s="23">
        <v>316.10000000000002</v>
      </c>
      <c r="E250" s="22"/>
    </row>
    <row r="251" spans="1:5" ht="15" customHeight="1" x14ac:dyDescent="0.35">
      <c r="A251" s="24" t="s">
        <v>5474</v>
      </c>
      <c r="B251" s="24" t="s">
        <v>3818</v>
      </c>
      <c r="C251" s="24" t="s">
        <v>3819</v>
      </c>
      <c r="D251" s="25">
        <v>147.44</v>
      </c>
      <c r="E251" s="24"/>
    </row>
    <row r="252" spans="1:5" ht="15" customHeight="1" x14ac:dyDescent="0.35">
      <c r="A252" s="22" t="s">
        <v>5474</v>
      </c>
      <c r="B252" s="22" t="s">
        <v>3822</v>
      </c>
      <c r="C252" s="22" t="s">
        <v>3823</v>
      </c>
      <c r="D252" s="23">
        <v>138.22</v>
      </c>
      <c r="E252" s="22"/>
    </row>
    <row r="253" spans="1:5" ht="15" customHeight="1" x14ac:dyDescent="0.35">
      <c r="A253" s="24" t="s">
        <v>5488</v>
      </c>
      <c r="B253" s="24" t="s">
        <v>5489</v>
      </c>
      <c r="C253" s="24" t="s">
        <v>5490</v>
      </c>
      <c r="D253" s="24"/>
      <c r="E253" s="24" t="s">
        <v>5477</v>
      </c>
    </row>
    <row r="254" spans="1:5" ht="15" customHeight="1" x14ac:dyDescent="0.35">
      <c r="A254" s="22" t="s">
        <v>5488</v>
      </c>
      <c r="B254" s="22" t="s">
        <v>5491</v>
      </c>
      <c r="C254" s="22" t="s">
        <v>5492</v>
      </c>
      <c r="D254" s="22"/>
      <c r="E254" s="22" t="s">
        <v>5477</v>
      </c>
    </row>
    <row r="255" spans="1:5" ht="15" customHeight="1" x14ac:dyDescent="0.35">
      <c r="A255" s="24" t="s">
        <v>5488</v>
      </c>
      <c r="B255" s="24" t="s">
        <v>5493</v>
      </c>
      <c r="C255" s="24" t="s">
        <v>5494</v>
      </c>
      <c r="D255" s="24"/>
      <c r="E255" s="24" t="s">
        <v>5477</v>
      </c>
    </row>
    <row r="256" spans="1:5" ht="15" customHeight="1" x14ac:dyDescent="0.35">
      <c r="A256" s="22" t="s">
        <v>5488</v>
      </c>
      <c r="B256" s="22" t="s">
        <v>5495</v>
      </c>
      <c r="C256" s="22" t="s">
        <v>5496</v>
      </c>
      <c r="D256" s="22"/>
      <c r="E256" s="22" t="s">
        <v>5477</v>
      </c>
    </row>
    <row r="257" spans="1:5" ht="15" customHeight="1" x14ac:dyDescent="0.35">
      <c r="A257" s="24" t="s">
        <v>5488</v>
      </c>
      <c r="B257" s="24" t="s">
        <v>5497</v>
      </c>
      <c r="C257" s="24" t="s">
        <v>5498</v>
      </c>
      <c r="D257" s="24"/>
      <c r="E257" s="24" t="s">
        <v>5477</v>
      </c>
    </row>
    <row r="258" spans="1:5" ht="15" customHeight="1" x14ac:dyDescent="0.35">
      <c r="A258" s="22" t="s">
        <v>5488</v>
      </c>
      <c r="B258" s="22" t="s">
        <v>5499</v>
      </c>
      <c r="C258" s="22" t="s">
        <v>5500</v>
      </c>
      <c r="D258" s="22"/>
      <c r="E258" s="22" t="s">
        <v>5477</v>
      </c>
    </row>
    <row r="259" spans="1:5" ht="15" customHeight="1" x14ac:dyDescent="0.35">
      <c r="A259" s="24" t="s">
        <v>5488</v>
      </c>
      <c r="B259" s="24" t="s">
        <v>5501</v>
      </c>
      <c r="C259" s="24" t="s">
        <v>5502</v>
      </c>
      <c r="D259" s="24"/>
      <c r="E259" s="24" t="s">
        <v>5477</v>
      </c>
    </row>
    <row r="260" spans="1:5" ht="15" customHeight="1" x14ac:dyDescent="0.35">
      <c r="A260" s="22" t="s">
        <v>5488</v>
      </c>
      <c r="B260" s="22" t="s">
        <v>5503</v>
      </c>
      <c r="C260" s="22" t="s">
        <v>5504</v>
      </c>
      <c r="D260" s="22"/>
      <c r="E260" s="22" t="s">
        <v>5477</v>
      </c>
    </row>
    <row r="261" spans="1:5" ht="15" customHeight="1" x14ac:dyDescent="0.35">
      <c r="A261" s="24" t="s">
        <v>5488</v>
      </c>
      <c r="B261" s="24" t="s">
        <v>5505</v>
      </c>
      <c r="C261" s="24" t="s">
        <v>5506</v>
      </c>
      <c r="D261" s="24"/>
      <c r="E261" s="24" t="s">
        <v>5477</v>
      </c>
    </row>
    <row r="262" spans="1:5" ht="15" customHeight="1" x14ac:dyDescent="0.35">
      <c r="A262" s="22" t="s">
        <v>5488</v>
      </c>
      <c r="B262" s="22" t="s">
        <v>5507</v>
      </c>
      <c r="C262" s="22" t="s">
        <v>5508</v>
      </c>
      <c r="D262" s="22"/>
      <c r="E262" s="22" t="s">
        <v>5477</v>
      </c>
    </row>
    <row r="263" spans="1:5" ht="15" customHeight="1" x14ac:dyDescent="0.35">
      <c r="A263" s="24" t="s">
        <v>5488</v>
      </c>
      <c r="B263" s="24" t="s">
        <v>5509</v>
      </c>
      <c r="C263" s="24" t="s">
        <v>5510</v>
      </c>
      <c r="D263" s="24"/>
      <c r="E263" s="24" t="s">
        <v>5477</v>
      </c>
    </row>
    <row r="264" spans="1:5" ht="15" customHeight="1" x14ac:dyDescent="0.35">
      <c r="A264" s="22" t="s">
        <v>5511</v>
      </c>
      <c r="B264" s="22" t="s">
        <v>3826</v>
      </c>
      <c r="C264" s="22" t="s">
        <v>3827</v>
      </c>
      <c r="D264" s="23">
        <v>2.44</v>
      </c>
      <c r="E264" s="22"/>
    </row>
    <row r="265" spans="1:5" ht="15" customHeight="1" x14ac:dyDescent="0.35">
      <c r="A265" s="24" t="s">
        <v>5511</v>
      </c>
      <c r="B265" s="24" t="s">
        <v>3830</v>
      </c>
      <c r="C265" s="24" t="s">
        <v>3831</v>
      </c>
      <c r="D265" s="25">
        <v>610</v>
      </c>
      <c r="E265" s="24"/>
    </row>
    <row r="266" spans="1:5" ht="15" customHeight="1" x14ac:dyDescent="0.35">
      <c r="A266" s="22" t="s">
        <v>5511</v>
      </c>
      <c r="B266" s="22" t="s">
        <v>3834</v>
      </c>
      <c r="C266" s="22" t="s">
        <v>3835</v>
      </c>
      <c r="D266" s="23">
        <v>1220</v>
      </c>
      <c r="E266" s="22"/>
    </row>
    <row r="267" spans="1:5" ht="15" customHeight="1" x14ac:dyDescent="0.35">
      <c r="A267" s="24" t="s">
        <v>5511</v>
      </c>
      <c r="B267" s="24" t="s">
        <v>3838</v>
      </c>
      <c r="C267" s="24" t="s">
        <v>3839</v>
      </c>
      <c r="D267" s="25">
        <v>2.37</v>
      </c>
      <c r="E267" s="24"/>
    </row>
    <row r="268" spans="1:5" ht="15" customHeight="1" x14ac:dyDescent="0.35">
      <c r="A268" s="22" t="s">
        <v>5511</v>
      </c>
      <c r="B268" s="22" t="s">
        <v>3842</v>
      </c>
      <c r="C268" s="22" t="s">
        <v>3843</v>
      </c>
      <c r="D268" s="23">
        <v>592.5</v>
      </c>
      <c r="E268" s="22"/>
    </row>
    <row r="269" spans="1:5" ht="15" customHeight="1" x14ac:dyDescent="0.35">
      <c r="A269" s="24" t="s">
        <v>5511</v>
      </c>
      <c r="B269" s="24" t="s">
        <v>3846</v>
      </c>
      <c r="C269" s="24" t="s">
        <v>3847</v>
      </c>
      <c r="D269" s="25">
        <v>1185</v>
      </c>
      <c r="E269" s="24"/>
    </row>
    <row r="270" spans="1:5" ht="15" customHeight="1" x14ac:dyDescent="0.35">
      <c r="A270" s="22" t="s">
        <v>5511</v>
      </c>
      <c r="B270" s="22" t="s">
        <v>3850</v>
      </c>
      <c r="C270" s="22" t="s">
        <v>3851</v>
      </c>
      <c r="D270" s="23">
        <v>2.75</v>
      </c>
      <c r="E270" s="22"/>
    </row>
    <row r="271" spans="1:5" ht="15" customHeight="1" x14ac:dyDescent="0.35">
      <c r="A271" s="24" t="s">
        <v>5511</v>
      </c>
      <c r="B271" s="24" t="s">
        <v>3854</v>
      </c>
      <c r="C271" s="24" t="s">
        <v>3855</v>
      </c>
      <c r="D271" s="25">
        <v>687.5</v>
      </c>
      <c r="E271" s="24"/>
    </row>
    <row r="272" spans="1:5" ht="15" customHeight="1" x14ac:dyDescent="0.35">
      <c r="A272" s="22" t="s">
        <v>5511</v>
      </c>
      <c r="B272" s="22" t="s">
        <v>3858</v>
      </c>
      <c r="C272" s="22" t="s">
        <v>3859</v>
      </c>
      <c r="D272" s="23">
        <v>1375</v>
      </c>
      <c r="E272" s="22"/>
    </row>
    <row r="273" spans="1:5" ht="15" customHeight="1" x14ac:dyDescent="0.35">
      <c r="A273" s="24" t="s">
        <v>5511</v>
      </c>
      <c r="B273" s="24" t="s">
        <v>3862</v>
      </c>
      <c r="C273" s="24" t="s">
        <v>3863</v>
      </c>
      <c r="D273" s="25">
        <v>5.43</v>
      </c>
      <c r="E273" s="24"/>
    </row>
    <row r="274" spans="1:5" ht="15" customHeight="1" x14ac:dyDescent="0.35">
      <c r="A274" s="22" t="s">
        <v>5511</v>
      </c>
      <c r="B274" s="22" t="s">
        <v>3866</v>
      </c>
      <c r="C274" s="22" t="s">
        <v>3867</v>
      </c>
      <c r="D274" s="23">
        <v>1358.3</v>
      </c>
      <c r="E274" s="22"/>
    </row>
    <row r="275" spans="1:5" ht="15" customHeight="1" x14ac:dyDescent="0.35">
      <c r="A275" s="24" t="s">
        <v>5511</v>
      </c>
      <c r="B275" s="24" t="s">
        <v>3870</v>
      </c>
      <c r="C275" s="24" t="s">
        <v>3871</v>
      </c>
      <c r="D275" s="25">
        <v>2716.6</v>
      </c>
      <c r="E275" s="24"/>
    </row>
    <row r="276" spans="1:5" ht="15" customHeight="1" x14ac:dyDescent="0.35">
      <c r="A276" s="22" t="s">
        <v>5511</v>
      </c>
      <c r="B276" s="22" t="s">
        <v>3874</v>
      </c>
      <c r="C276" s="22" t="s">
        <v>3875</v>
      </c>
      <c r="D276" s="23">
        <v>7.8</v>
      </c>
      <c r="E276" s="22"/>
    </row>
    <row r="277" spans="1:5" ht="15" customHeight="1" x14ac:dyDescent="0.35">
      <c r="A277" s="24" t="s">
        <v>5511</v>
      </c>
      <c r="B277" s="24" t="s">
        <v>3878</v>
      </c>
      <c r="C277" s="24" t="s">
        <v>3879</v>
      </c>
      <c r="D277" s="25">
        <v>9.69</v>
      </c>
      <c r="E277" s="24"/>
    </row>
    <row r="278" spans="1:5" ht="15" customHeight="1" x14ac:dyDescent="0.35">
      <c r="A278" s="22" t="s">
        <v>5512</v>
      </c>
      <c r="B278" s="22" t="s">
        <v>3882</v>
      </c>
      <c r="C278" s="22" t="s">
        <v>3883</v>
      </c>
      <c r="D278" s="23">
        <v>4.17</v>
      </c>
      <c r="E278" s="22"/>
    </row>
    <row r="279" spans="1:5" ht="15" customHeight="1" x14ac:dyDescent="0.35">
      <c r="A279" s="24" t="s">
        <v>5512</v>
      </c>
      <c r="B279" s="24" t="s">
        <v>3886</v>
      </c>
      <c r="C279" s="24" t="s">
        <v>3887</v>
      </c>
      <c r="D279" s="25">
        <v>1042.0999999999999</v>
      </c>
      <c r="E279" s="24"/>
    </row>
    <row r="280" spans="1:5" ht="15" customHeight="1" x14ac:dyDescent="0.35">
      <c r="A280" s="22" t="s">
        <v>5512</v>
      </c>
      <c r="B280" s="22" t="s">
        <v>3890</v>
      </c>
      <c r="C280" s="22" t="s">
        <v>3891</v>
      </c>
      <c r="D280" s="23">
        <v>2084.1999999999998</v>
      </c>
      <c r="E280" s="22"/>
    </row>
    <row r="281" spans="1:5" ht="15" customHeight="1" x14ac:dyDescent="0.35">
      <c r="A281" s="24" t="s">
        <v>5512</v>
      </c>
      <c r="B281" s="24" t="s">
        <v>3894</v>
      </c>
      <c r="C281" s="24" t="s">
        <v>3895</v>
      </c>
      <c r="D281" s="25">
        <v>4.5</v>
      </c>
      <c r="E281" s="24"/>
    </row>
    <row r="282" spans="1:5" ht="15" customHeight="1" x14ac:dyDescent="0.35">
      <c r="A282" s="22" t="s">
        <v>5512</v>
      </c>
      <c r="B282" s="22" t="s">
        <v>3898</v>
      </c>
      <c r="C282" s="22" t="s">
        <v>3899</v>
      </c>
      <c r="D282" s="23">
        <v>1125.4000000000001</v>
      </c>
      <c r="E282" s="22"/>
    </row>
    <row r="283" spans="1:5" ht="15" customHeight="1" x14ac:dyDescent="0.35">
      <c r="A283" s="24" t="s">
        <v>5512</v>
      </c>
      <c r="B283" s="24" t="s">
        <v>3902</v>
      </c>
      <c r="C283" s="24" t="s">
        <v>3903</v>
      </c>
      <c r="D283" s="25">
        <v>2250.8000000000002</v>
      </c>
      <c r="E283" s="24"/>
    </row>
    <row r="284" spans="1:5" ht="15" customHeight="1" x14ac:dyDescent="0.35">
      <c r="A284" s="22" t="s">
        <v>5512</v>
      </c>
      <c r="B284" s="22" t="s">
        <v>3906</v>
      </c>
      <c r="C284" s="22" t="s">
        <v>3907</v>
      </c>
      <c r="D284" s="23">
        <v>6.35</v>
      </c>
      <c r="E284" s="22"/>
    </row>
    <row r="285" spans="1:5" ht="15" customHeight="1" x14ac:dyDescent="0.35">
      <c r="A285" s="24" t="s">
        <v>5513</v>
      </c>
      <c r="B285" s="24" t="s">
        <v>3910</v>
      </c>
      <c r="C285" s="24" t="s">
        <v>3911</v>
      </c>
      <c r="D285" s="25">
        <v>2.64</v>
      </c>
      <c r="E285" s="24"/>
    </row>
    <row r="286" spans="1:5" ht="15" customHeight="1" x14ac:dyDescent="0.35">
      <c r="A286" s="22" t="s">
        <v>5513</v>
      </c>
      <c r="B286" s="22" t="s">
        <v>3914</v>
      </c>
      <c r="C286" s="22" t="s">
        <v>3915</v>
      </c>
      <c r="D286" s="23">
        <v>660</v>
      </c>
      <c r="E286" s="22"/>
    </row>
    <row r="287" spans="1:5" ht="15" customHeight="1" x14ac:dyDescent="0.35">
      <c r="A287" s="24" t="s">
        <v>5513</v>
      </c>
      <c r="B287" s="24" t="s">
        <v>3918</v>
      </c>
      <c r="C287" s="24" t="s">
        <v>3919</v>
      </c>
      <c r="D287" s="25">
        <v>1320</v>
      </c>
      <c r="E287" s="24"/>
    </row>
    <row r="288" spans="1:5" ht="15" customHeight="1" x14ac:dyDescent="0.35">
      <c r="A288" s="22" t="s">
        <v>5513</v>
      </c>
      <c r="B288" s="22" t="s">
        <v>3922</v>
      </c>
      <c r="C288" s="22" t="s">
        <v>3923</v>
      </c>
      <c r="D288" s="23">
        <v>2.54</v>
      </c>
      <c r="E288" s="22"/>
    </row>
    <row r="289" spans="1:5" ht="15" customHeight="1" x14ac:dyDescent="0.35">
      <c r="A289" s="24" t="s">
        <v>5513</v>
      </c>
      <c r="B289" s="24" t="s">
        <v>3926</v>
      </c>
      <c r="C289" s="24" t="s">
        <v>3927</v>
      </c>
      <c r="D289" s="25">
        <v>635</v>
      </c>
      <c r="E289" s="24"/>
    </row>
    <row r="290" spans="1:5" ht="15" customHeight="1" x14ac:dyDescent="0.35">
      <c r="A290" s="22" t="s">
        <v>5513</v>
      </c>
      <c r="B290" s="22" t="s">
        <v>3930</v>
      </c>
      <c r="C290" s="22" t="s">
        <v>3931</v>
      </c>
      <c r="D290" s="23">
        <v>1270</v>
      </c>
      <c r="E290" s="22"/>
    </row>
    <row r="291" spans="1:5" ht="15" customHeight="1" x14ac:dyDescent="0.35">
      <c r="A291" s="24" t="s">
        <v>5513</v>
      </c>
      <c r="B291" s="24" t="s">
        <v>3934</v>
      </c>
      <c r="C291" s="24" t="s">
        <v>3935</v>
      </c>
      <c r="D291" s="25">
        <v>2.77</v>
      </c>
      <c r="E291" s="24"/>
    </row>
    <row r="292" spans="1:5" ht="15" customHeight="1" x14ac:dyDescent="0.35">
      <c r="A292" s="22" t="s">
        <v>5513</v>
      </c>
      <c r="B292" s="22" t="s">
        <v>3938</v>
      </c>
      <c r="C292" s="22" t="s">
        <v>3939</v>
      </c>
      <c r="D292" s="23">
        <v>692.5</v>
      </c>
      <c r="E292" s="22"/>
    </row>
    <row r="293" spans="1:5" ht="15" customHeight="1" x14ac:dyDescent="0.35">
      <c r="A293" s="24" t="s">
        <v>5513</v>
      </c>
      <c r="B293" s="24" t="s">
        <v>3942</v>
      </c>
      <c r="C293" s="24" t="s">
        <v>3943</v>
      </c>
      <c r="D293" s="25">
        <v>1385</v>
      </c>
      <c r="E293" s="24"/>
    </row>
    <row r="294" spans="1:5" ht="15" customHeight="1" x14ac:dyDescent="0.35">
      <c r="A294" s="22" t="s">
        <v>5514</v>
      </c>
      <c r="B294" s="22" t="s">
        <v>3946</v>
      </c>
      <c r="C294" s="22" t="s">
        <v>3947</v>
      </c>
      <c r="D294" s="23">
        <v>16.170000000000002</v>
      </c>
      <c r="E294" s="22"/>
    </row>
    <row r="295" spans="1:5" ht="15" customHeight="1" x14ac:dyDescent="0.35">
      <c r="A295" s="24" t="s">
        <v>5514</v>
      </c>
      <c r="B295" s="24" t="s">
        <v>3950</v>
      </c>
      <c r="C295" s="24" t="s">
        <v>3951</v>
      </c>
      <c r="D295" s="25">
        <v>3.07</v>
      </c>
      <c r="E295" s="24"/>
    </row>
    <row r="296" spans="1:5" ht="15" customHeight="1" x14ac:dyDescent="0.35">
      <c r="A296" s="22" t="s">
        <v>5514</v>
      </c>
      <c r="B296" s="22" t="s">
        <v>3954</v>
      </c>
      <c r="C296" s="22" t="s">
        <v>3955</v>
      </c>
      <c r="D296" s="23">
        <v>1533.4</v>
      </c>
      <c r="E296" s="22"/>
    </row>
    <row r="297" spans="1:5" ht="15" customHeight="1" x14ac:dyDescent="0.35">
      <c r="A297" s="24" t="s">
        <v>5514</v>
      </c>
      <c r="B297" s="24" t="s">
        <v>3958</v>
      </c>
      <c r="C297" s="24" t="s">
        <v>3959</v>
      </c>
      <c r="D297" s="25">
        <v>7.85</v>
      </c>
      <c r="E297" s="24"/>
    </row>
    <row r="298" spans="1:5" ht="15" customHeight="1" x14ac:dyDescent="0.35">
      <c r="A298" s="22" t="s">
        <v>5514</v>
      </c>
      <c r="B298" s="22" t="s">
        <v>3962</v>
      </c>
      <c r="C298" s="22" t="s">
        <v>3963</v>
      </c>
      <c r="D298" s="23">
        <v>19.71</v>
      </c>
      <c r="E298" s="22"/>
    </row>
    <row r="299" spans="1:5" ht="15" customHeight="1" x14ac:dyDescent="0.35">
      <c r="A299" s="24" t="s">
        <v>5514</v>
      </c>
      <c r="B299" s="24" t="s">
        <v>3966</v>
      </c>
      <c r="C299" s="24" t="s">
        <v>3967</v>
      </c>
      <c r="D299" s="25">
        <v>811.24</v>
      </c>
      <c r="E299" s="24"/>
    </row>
    <row r="300" spans="1:5" ht="15" customHeight="1" x14ac:dyDescent="0.35">
      <c r="A300" s="22" t="s">
        <v>5514</v>
      </c>
      <c r="B300" s="22" t="s">
        <v>3970</v>
      </c>
      <c r="C300" s="22" t="s">
        <v>3971</v>
      </c>
      <c r="D300" s="23">
        <v>811.24</v>
      </c>
      <c r="E300" s="22"/>
    </row>
    <row r="301" spans="1:5" ht="15" customHeight="1" x14ac:dyDescent="0.35">
      <c r="A301" s="24" t="s">
        <v>5514</v>
      </c>
      <c r="B301" s="24" t="s">
        <v>3974</v>
      </c>
      <c r="C301" s="24" t="s">
        <v>3975</v>
      </c>
      <c r="D301" s="25">
        <v>6.47</v>
      </c>
      <c r="E301" s="24"/>
    </row>
    <row r="302" spans="1:5" ht="15" customHeight="1" x14ac:dyDescent="0.35">
      <c r="A302" s="22" t="s">
        <v>5514</v>
      </c>
      <c r="B302" s="22" t="s">
        <v>3978</v>
      </c>
      <c r="C302" s="22" t="s">
        <v>3979</v>
      </c>
      <c r="D302" s="23">
        <v>1616.7</v>
      </c>
      <c r="E302" s="22"/>
    </row>
    <row r="303" spans="1:5" ht="15" customHeight="1" x14ac:dyDescent="0.35">
      <c r="A303" s="24" t="s">
        <v>5514</v>
      </c>
      <c r="B303" s="24" t="s">
        <v>3982</v>
      </c>
      <c r="C303" s="24" t="s">
        <v>3983</v>
      </c>
      <c r="D303" s="25">
        <v>3233.4</v>
      </c>
      <c r="E303" s="24"/>
    </row>
    <row r="304" spans="1:5" ht="15" customHeight="1" x14ac:dyDescent="0.35">
      <c r="A304" s="22" t="s">
        <v>5514</v>
      </c>
      <c r="B304" s="22" t="s">
        <v>3986</v>
      </c>
      <c r="C304" s="22" t="s">
        <v>3987</v>
      </c>
      <c r="D304" s="23">
        <v>8.5299999999999994</v>
      </c>
      <c r="E304" s="22"/>
    </row>
    <row r="305" spans="1:5" ht="15" customHeight="1" x14ac:dyDescent="0.35">
      <c r="A305" s="24" t="s">
        <v>5514</v>
      </c>
      <c r="B305" s="24" t="s">
        <v>3990</v>
      </c>
      <c r="C305" s="24" t="s">
        <v>3991</v>
      </c>
      <c r="D305" s="25">
        <v>2133.5</v>
      </c>
      <c r="E305" s="24"/>
    </row>
    <row r="306" spans="1:5" ht="15" customHeight="1" x14ac:dyDescent="0.35">
      <c r="A306" s="22" t="s">
        <v>5514</v>
      </c>
      <c r="B306" s="22" t="s">
        <v>3994</v>
      </c>
      <c r="C306" s="22" t="s">
        <v>3995</v>
      </c>
      <c r="D306" s="23">
        <v>11.32</v>
      </c>
      <c r="E306" s="22"/>
    </row>
    <row r="307" spans="1:5" ht="15" customHeight="1" x14ac:dyDescent="0.35">
      <c r="A307" s="24" t="s">
        <v>5515</v>
      </c>
      <c r="B307" s="24" t="s">
        <v>3998</v>
      </c>
      <c r="C307" s="24" t="s">
        <v>3999</v>
      </c>
      <c r="D307" s="25">
        <v>12.36</v>
      </c>
      <c r="E307" s="24"/>
    </row>
    <row r="308" spans="1:5" ht="15" customHeight="1" x14ac:dyDescent="0.35">
      <c r="A308" s="22" t="s">
        <v>5515</v>
      </c>
      <c r="B308" s="22" t="s">
        <v>5516</v>
      </c>
      <c r="C308" s="22" t="s">
        <v>5517</v>
      </c>
      <c r="D308" s="22"/>
      <c r="E308" s="22" t="s">
        <v>5477</v>
      </c>
    </row>
    <row r="309" spans="1:5" ht="15" customHeight="1" x14ac:dyDescent="0.35">
      <c r="A309" s="24" t="s">
        <v>5515</v>
      </c>
      <c r="B309" s="24" t="s">
        <v>5518</v>
      </c>
      <c r="C309" s="24" t="s">
        <v>5519</v>
      </c>
      <c r="D309" s="24"/>
      <c r="E309" s="24" t="s">
        <v>5477</v>
      </c>
    </row>
    <row r="310" spans="1:5" ht="15" customHeight="1" x14ac:dyDescent="0.35">
      <c r="A310" s="22" t="s">
        <v>5515</v>
      </c>
      <c r="B310" s="22" t="s">
        <v>5520</v>
      </c>
      <c r="C310" s="22" t="s">
        <v>5521</v>
      </c>
      <c r="D310" s="22"/>
      <c r="E310" s="22" t="s">
        <v>5477</v>
      </c>
    </row>
    <row r="311" spans="1:5" ht="15" customHeight="1" x14ac:dyDescent="0.35">
      <c r="A311" s="24" t="s">
        <v>5515</v>
      </c>
      <c r="B311" s="24" t="s">
        <v>5522</v>
      </c>
      <c r="C311" s="24" t="s">
        <v>5523</v>
      </c>
      <c r="D311" s="24"/>
      <c r="E311" s="24" t="s">
        <v>5477</v>
      </c>
    </row>
    <row r="312" spans="1:5" ht="15" customHeight="1" x14ac:dyDescent="0.35">
      <c r="A312" s="22" t="s">
        <v>5515</v>
      </c>
      <c r="B312" s="22" t="s">
        <v>5524</v>
      </c>
      <c r="C312" s="22" t="s">
        <v>5525</v>
      </c>
      <c r="D312" s="22"/>
      <c r="E312" s="22" t="s">
        <v>5477</v>
      </c>
    </row>
    <row r="313" spans="1:5" ht="15" customHeight="1" x14ac:dyDescent="0.35">
      <c r="A313" s="24" t="s">
        <v>5515</v>
      </c>
      <c r="B313" s="24" t="s">
        <v>5526</v>
      </c>
      <c r="C313" s="24" t="s">
        <v>5527</v>
      </c>
      <c r="D313" s="24"/>
      <c r="E313" s="24" t="s">
        <v>5477</v>
      </c>
    </row>
    <row r="314" spans="1:5" ht="15" customHeight="1" x14ac:dyDescent="0.35">
      <c r="A314" s="22" t="s">
        <v>5515</v>
      </c>
      <c r="B314" s="22" t="s">
        <v>5528</v>
      </c>
      <c r="C314" s="22" t="s">
        <v>5529</v>
      </c>
      <c r="D314" s="22"/>
      <c r="E314" s="22" t="s">
        <v>5477</v>
      </c>
    </row>
    <row r="315" spans="1:5" ht="15" customHeight="1" x14ac:dyDescent="0.35">
      <c r="A315" s="24" t="s">
        <v>5515</v>
      </c>
      <c r="B315" s="24" t="s">
        <v>5530</v>
      </c>
      <c r="C315" s="24" t="s">
        <v>5531</v>
      </c>
      <c r="D315" s="24"/>
      <c r="E315" s="24" t="s">
        <v>5477</v>
      </c>
    </row>
    <row r="316" spans="1:5" ht="15" customHeight="1" x14ac:dyDescent="0.35">
      <c r="A316" s="22" t="s">
        <v>5515</v>
      </c>
      <c r="B316" s="22" t="s">
        <v>5532</v>
      </c>
      <c r="C316" s="22" t="s">
        <v>5533</v>
      </c>
      <c r="D316" s="22"/>
      <c r="E316" s="22" t="s">
        <v>5477</v>
      </c>
    </row>
    <row r="317" spans="1:5" ht="15" customHeight="1" x14ac:dyDescent="0.35">
      <c r="A317" s="24" t="s">
        <v>5515</v>
      </c>
      <c r="B317" s="24" t="s">
        <v>5534</v>
      </c>
      <c r="C317" s="24" t="s">
        <v>5535</v>
      </c>
      <c r="D317" s="24"/>
      <c r="E317" s="24" t="s">
        <v>5477</v>
      </c>
    </row>
    <row r="318" spans="1:5" ht="15" customHeight="1" x14ac:dyDescent="0.35">
      <c r="A318" s="22" t="s">
        <v>5515</v>
      </c>
      <c r="B318" s="22" t="s">
        <v>5536</v>
      </c>
      <c r="C318" s="22" t="s">
        <v>5537</v>
      </c>
      <c r="D318" s="22"/>
      <c r="E318" s="22" t="s">
        <v>5477</v>
      </c>
    </row>
    <row r="319" spans="1:5" ht="15" customHeight="1" x14ac:dyDescent="0.35">
      <c r="A319" s="24" t="s">
        <v>5515</v>
      </c>
      <c r="B319" s="24" t="s">
        <v>5538</v>
      </c>
      <c r="C319" s="24" t="s">
        <v>5539</v>
      </c>
      <c r="D319" s="24"/>
      <c r="E319" s="24" t="s">
        <v>5477</v>
      </c>
    </row>
    <row r="320" spans="1:5" ht="15" customHeight="1" x14ac:dyDescent="0.35">
      <c r="A320" s="22" t="s">
        <v>5540</v>
      </c>
      <c r="B320" s="22" t="s">
        <v>5541</v>
      </c>
      <c r="C320" s="22" t="s">
        <v>5542</v>
      </c>
      <c r="D320" s="22"/>
      <c r="E320" s="22" t="s">
        <v>5477</v>
      </c>
    </row>
    <row r="321" spans="1:5" ht="15" customHeight="1" x14ac:dyDescent="0.35">
      <c r="A321" s="24" t="s">
        <v>5540</v>
      </c>
      <c r="B321" s="24" t="s">
        <v>5543</v>
      </c>
      <c r="C321" s="24" t="s">
        <v>5544</v>
      </c>
      <c r="D321" s="24"/>
      <c r="E321" s="24" t="s">
        <v>5477</v>
      </c>
    </row>
    <row r="322" spans="1:5" ht="15" customHeight="1" x14ac:dyDescent="0.35">
      <c r="A322" s="22" t="s">
        <v>5540</v>
      </c>
      <c r="B322" s="22" t="s">
        <v>5545</v>
      </c>
      <c r="C322" s="22" t="s">
        <v>5546</v>
      </c>
      <c r="D322" s="22"/>
      <c r="E322" s="22" t="s">
        <v>5477</v>
      </c>
    </row>
    <row r="323" spans="1:5" ht="15" customHeight="1" x14ac:dyDescent="0.35">
      <c r="A323" s="24" t="s">
        <v>5540</v>
      </c>
      <c r="B323" s="24" t="s">
        <v>5547</v>
      </c>
      <c r="C323" s="24" t="s">
        <v>5548</v>
      </c>
      <c r="D323" s="24"/>
      <c r="E323" s="24" t="s">
        <v>5477</v>
      </c>
    </row>
    <row r="324" spans="1:5" ht="15" customHeight="1" x14ac:dyDescent="0.35">
      <c r="A324" s="22" t="s">
        <v>5540</v>
      </c>
      <c r="B324" s="22" t="s">
        <v>5549</v>
      </c>
      <c r="C324" s="22" t="s">
        <v>5550</v>
      </c>
      <c r="D324" s="22"/>
      <c r="E324" s="22" t="s">
        <v>5477</v>
      </c>
    </row>
    <row r="325" spans="1:5" ht="15" customHeight="1" x14ac:dyDescent="0.35">
      <c r="A325" s="24" t="s">
        <v>5540</v>
      </c>
      <c r="B325" s="24" t="s">
        <v>5551</v>
      </c>
      <c r="C325" s="24" t="s">
        <v>5552</v>
      </c>
      <c r="D325" s="24"/>
      <c r="E325" s="24" t="s">
        <v>5477</v>
      </c>
    </row>
    <row r="326" spans="1:5" ht="15" customHeight="1" x14ac:dyDescent="0.35">
      <c r="A326" s="22" t="s">
        <v>5540</v>
      </c>
      <c r="B326" s="22" t="s">
        <v>5553</v>
      </c>
      <c r="C326" s="22" t="s">
        <v>5554</v>
      </c>
      <c r="D326" s="22"/>
      <c r="E326" s="22" t="s">
        <v>5477</v>
      </c>
    </row>
    <row r="327" spans="1:5" ht="15" customHeight="1" x14ac:dyDescent="0.35">
      <c r="A327" s="24" t="s">
        <v>5540</v>
      </c>
      <c r="B327" s="24" t="s">
        <v>5555</v>
      </c>
      <c r="C327" s="24" t="s">
        <v>5556</v>
      </c>
      <c r="D327" s="24"/>
      <c r="E327" s="24" t="s">
        <v>5477</v>
      </c>
    </row>
    <row r="328" spans="1:5" ht="15" customHeight="1" x14ac:dyDescent="0.35">
      <c r="A328" s="22" t="s">
        <v>5557</v>
      </c>
      <c r="B328" s="22" t="s">
        <v>5558</v>
      </c>
      <c r="C328" s="22" t="s">
        <v>5559</v>
      </c>
      <c r="D328" s="22"/>
      <c r="E328" s="22" t="s">
        <v>5477</v>
      </c>
    </row>
    <row r="329" spans="1:5" ht="15" customHeight="1" x14ac:dyDescent="0.35">
      <c r="A329" s="24" t="s">
        <v>5557</v>
      </c>
      <c r="B329" s="24" t="s">
        <v>5560</v>
      </c>
      <c r="C329" s="24" t="s">
        <v>5561</v>
      </c>
      <c r="D329" s="24"/>
      <c r="E329" s="24" t="s">
        <v>5477</v>
      </c>
    </row>
    <row r="330" spans="1:5" ht="15" customHeight="1" x14ac:dyDescent="0.35">
      <c r="A330" s="22" t="s">
        <v>5557</v>
      </c>
      <c r="B330" s="22" t="s">
        <v>5562</v>
      </c>
      <c r="C330" s="22" t="s">
        <v>5563</v>
      </c>
      <c r="D330" s="22"/>
      <c r="E330" s="22" t="s">
        <v>5477</v>
      </c>
    </row>
    <row r="331" spans="1:5" ht="15" customHeight="1" x14ac:dyDescent="0.35">
      <c r="A331" s="24" t="s">
        <v>5557</v>
      </c>
      <c r="B331" s="24" t="s">
        <v>5564</v>
      </c>
      <c r="C331" s="24" t="s">
        <v>5565</v>
      </c>
      <c r="D331" s="24"/>
      <c r="E331" s="24" t="s">
        <v>5477</v>
      </c>
    </row>
    <row r="332" spans="1:5" ht="15" customHeight="1" x14ac:dyDescent="0.35">
      <c r="A332" s="22" t="s">
        <v>5557</v>
      </c>
      <c r="B332" s="22" t="s">
        <v>5566</v>
      </c>
      <c r="C332" s="22" t="s">
        <v>5567</v>
      </c>
      <c r="D332" s="22"/>
      <c r="E332" s="22" t="s">
        <v>5477</v>
      </c>
    </row>
    <row r="333" spans="1:5" ht="15" customHeight="1" x14ac:dyDescent="0.35">
      <c r="A333" s="24" t="s">
        <v>5557</v>
      </c>
      <c r="B333" s="24" t="s">
        <v>5568</v>
      </c>
      <c r="C333" s="24" t="s">
        <v>5569</v>
      </c>
      <c r="D333" s="24"/>
      <c r="E333" s="24" t="s">
        <v>5477</v>
      </c>
    </row>
    <row r="334" spans="1:5" ht="15" customHeight="1" x14ac:dyDescent="0.35">
      <c r="A334" s="22" t="s">
        <v>5557</v>
      </c>
      <c r="B334" s="22" t="s">
        <v>5570</v>
      </c>
      <c r="C334" s="22" t="s">
        <v>5571</v>
      </c>
      <c r="D334" s="22"/>
      <c r="E334" s="22" t="s">
        <v>5477</v>
      </c>
    </row>
    <row r="335" spans="1:5" ht="15" customHeight="1" x14ac:dyDescent="0.35">
      <c r="A335" s="24" t="s">
        <v>5557</v>
      </c>
      <c r="B335" s="24" t="s">
        <v>5572</v>
      </c>
      <c r="C335" s="24" t="s">
        <v>5573</v>
      </c>
      <c r="D335" s="24"/>
      <c r="E335" s="24" t="s">
        <v>5477</v>
      </c>
    </row>
    <row r="336" spans="1:5" ht="15" customHeight="1" x14ac:dyDescent="0.35">
      <c r="A336" s="22" t="s">
        <v>5557</v>
      </c>
      <c r="B336" s="22" t="s">
        <v>5574</v>
      </c>
      <c r="C336" s="22" t="s">
        <v>5575</v>
      </c>
      <c r="D336" s="22"/>
      <c r="E336" s="22" t="s">
        <v>5477</v>
      </c>
    </row>
    <row r="337" spans="1:5" ht="15" customHeight="1" x14ac:dyDescent="0.35">
      <c r="A337" s="24" t="s">
        <v>5557</v>
      </c>
      <c r="B337" s="24" t="s">
        <v>5576</v>
      </c>
      <c r="C337" s="24" t="s">
        <v>5577</v>
      </c>
      <c r="D337" s="24"/>
      <c r="E337" s="24" t="s">
        <v>5477</v>
      </c>
    </row>
    <row r="338" spans="1:5" ht="15" customHeight="1" x14ac:dyDescent="0.35">
      <c r="A338" s="22" t="s">
        <v>5557</v>
      </c>
      <c r="B338" s="22" t="s">
        <v>5578</v>
      </c>
      <c r="C338" s="22" t="s">
        <v>5579</v>
      </c>
      <c r="D338" s="22"/>
      <c r="E338" s="22" t="s">
        <v>5477</v>
      </c>
    </row>
    <row r="339" spans="1:5" ht="15" customHeight="1" x14ac:dyDescent="0.35">
      <c r="A339" s="24" t="s">
        <v>5557</v>
      </c>
      <c r="B339" s="24" t="s">
        <v>5580</v>
      </c>
      <c r="C339" s="24" t="s">
        <v>5581</v>
      </c>
      <c r="D339" s="24"/>
      <c r="E339" s="24" t="s">
        <v>5477</v>
      </c>
    </row>
    <row r="340" spans="1:5" ht="15" customHeight="1" x14ac:dyDescent="0.35">
      <c r="A340" s="22" t="s">
        <v>5557</v>
      </c>
      <c r="B340" s="22" t="s">
        <v>5582</v>
      </c>
      <c r="C340" s="22" t="s">
        <v>5583</v>
      </c>
      <c r="D340" s="22"/>
      <c r="E340" s="22" t="s">
        <v>5477</v>
      </c>
    </row>
    <row r="341" spans="1:5" ht="15" customHeight="1" x14ac:dyDescent="0.35">
      <c r="A341" s="24" t="s">
        <v>5557</v>
      </c>
      <c r="B341" s="24" t="s">
        <v>5584</v>
      </c>
      <c r="C341" s="24" t="s">
        <v>5585</v>
      </c>
      <c r="D341" s="24"/>
      <c r="E341" s="24" t="s">
        <v>5477</v>
      </c>
    </row>
    <row r="342" spans="1:5" ht="15" customHeight="1" x14ac:dyDescent="0.35">
      <c r="A342" s="22" t="s">
        <v>5557</v>
      </c>
      <c r="B342" s="22" t="s">
        <v>5586</v>
      </c>
      <c r="C342" s="22" t="s">
        <v>5587</v>
      </c>
      <c r="D342" s="22"/>
      <c r="E342" s="22" t="s">
        <v>5477</v>
      </c>
    </row>
    <row r="343" spans="1:5" ht="15" customHeight="1" x14ac:dyDescent="0.35">
      <c r="A343" s="24" t="s">
        <v>5557</v>
      </c>
      <c r="B343" s="24" t="s">
        <v>5588</v>
      </c>
      <c r="C343" s="24" t="s">
        <v>5589</v>
      </c>
      <c r="D343" s="24"/>
      <c r="E343" s="24" t="s">
        <v>5477</v>
      </c>
    </row>
    <row r="344" spans="1:5" ht="15" customHeight="1" x14ac:dyDescent="0.35">
      <c r="A344" s="22" t="s">
        <v>5590</v>
      </c>
      <c r="B344" s="22" t="s">
        <v>4002</v>
      </c>
      <c r="C344" s="22" t="s">
        <v>4003</v>
      </c>
      <c r="D344" s="23">
        <v>4.0999999999999996</v>
      </c>
      <c r="E344" s="22"/>
    </row>
    <row r="345" spans="1:5" ht="15" customHeight="1" x14ac:dyDescent="0.35">
      <c r="A345" s="24" t="s">
        <v>5590</v>
      </c>
      <c r="B345" s="24" t="s">
        <v>4006</v>
      </c>
      <c r="C345" s="24" t="s">
        <v>4007</v>
      </c>
      <c r="D345" s="25">
        <v>2050</v>
      </c>
      <c r="E345" s="24"/>
    </row>
    <row r="346" spans="1:5" ht="15" customHeight="1" x14ac:dyDescent="0.35">
      <c r="A346" s="22" t="s">
        <v>5590</v>
      </c>
      <c r="B346" s="22" t="s">
        <v>4010</v>
      </c>
      <c r="C346" s="22" t="s">
        <v>4011</v>
      </c>
      <c r="D346" s="23">
        <v>55</v>
      </c>
      <c r="E346" s="22"/>
    </row>
    <row r="347" spans="1:5" ht="15" customHeight="1" x14ac:dyDescent="0.35">
      <c r="A347" s="24" t="s">
        <v>5590</v>
      </c>
      <c r="B347" s="24" t="s">
        <v>4014</v>
      </c>
      <c r="C347" s="24" t="s">
        <v>4015</v>
      </c>
      <c r="D347" s="25">
        <v>30</v>
      </c>
      <c r="E347" s="24"/>
    </row>
    <row r="348" spans="1:5" ht="15" customHeight="1" x14ac:dyDescent="0.35">
      <c r="A348" s="22" t="s">
        <v>5590</v>
      </c>
      <c r="B348" s="22" t="s">
        <v>4018</v>
      </c>
      <c r="C348" s="22" t="s">
        <v>4019</v>
      </c>
      <c r="D348" s="23">
        <v>90</v>
      </c>
      <c r="E348" s="22"/>
    </row>
    <row r="349" spans="1:5" ht="15" customHeight="1" x14ac:dyDescent="0.35">
      <c r="A349" s="24" t="s">
        <v>5590</v>
      </c>
      <c r="B349" s="24" t="s">
        <v>4022</v>
      </c>
      <c r="C349" s="24" t="s">
        <v>4023</v>
      </c>
      <c r="D349" s="25">
        <v>1750</v>
      </c>
      <c r="E349" s="24"/>
    </row>
    <row r="350" spans="1:5" ht="15" customHeight="1" x14ac:dyDescent="0.35">
      <c r="A350" s="22" t="s">
        <v>5590</v>
      </c>
      <c r="B350" s="22" t="s">
        <v>4026</v>
      </c>
      <c r="C350" s="22" t="s">
        <v>4027</v>
      </c>
      <c r="D350" s="23">
        <v>2450</v>
      </c>
      <c r="E350" s="22"/>
    </row>
    <row r="351" spans="1:5" ht="15" customHeight="1" x14ac:dyDescent="0.35">
      <c r="A351" s="24" t="s">
        <v>5591</v>
      </c>
      <c r="B351" s="24" t="s">
        <v>4030</v>
      </c>
      <c r="C351" s="24" t="s">
        <v>4031</v>
      </c>
      <c r="D351" s="25">
        <v>1419.08</v>
      </c>
      <c r="E351" s="24"/>
    </row>
    <row r="352" spans="1:5" ht="15" customHeight="1" x14ac:dyDescent="0.35">
      <c r="A352" s="22" t="s">
        <v>5591</v>
      </c>
      <c r="B352" s="22" t="s">
        <v>4034</v>
      </c>
      <c r="C352" s="22" t="s">
        <v>4035</v>
      </c>
      <c r="D352" s="23">
        <v>2465.58</v>
      </c>
      <c r="E352" s="22"/>
    </row>
    <row r="353" spans="1:5" ht="15" customHeight="1" x14ac:dyDescent="0.35">
      <c r="A353" s="24" t="s">
        <v>5591</v>
      </c>
      <c r="B353" s="24" t="s">
        <v>4038</v>
      </c>
      <c r="C353" s="24" t="s">
        <v>4039</v>
      </c>
      <c r="D353" s="25">
        <v>1195.43</v>
      </c>
      <c r="E353" s="24"/>
    </row>
    <row r="354" spans="1:5" ht="15" customHeight="1" x14ac:dyDescent="0.35">
      <c r="A354" s="22" t="s">
        <v>5591</v>
      </c>
      <c r="B354" s="22" t="s">
        <v>4042</v>
      </c>
      <c r="C354" s="22" t="s">
        <v>4043</v>
      </c>
      <c r="D354" s="23">
        <v>2053.9699999999998</v>
      </c>
      <c r="E354" s="22"/>
    </row>
    <row r="355" spans="1:5" ht="15" customHeight="1" x14ac:dyDescent="0.35">
      <c r="A355" s="24" t="s">
        <v>5591</v>
      </c>
      <c r="B355" s="24" t="s">
        <v>4046</v>
      </c>
      <c r="C355" s="24" t="s">
        <v>4047</v>
      </c>
      <c r="D355" s="25">
        <v>1867.86</v>
      </c>
      <c r="E355" s="24"/>
    </row>
    <row r="356" spans="1:5" ht="15" customHeight="1" x14ac:dyDescent="0.35">
      <c r="A356" s="22" t="s">
        <v>5591</v>
      </c>
      <c r="B356" s="22" t="s">
        <v>4050</v>
      </c>
      <c r="C356" s="22" t="s">
        <v>4051</v>
      </c>
      <c r="D356" s="23">
        <v>343.68</v>
      </c>
      <c r="E356" s="22"/>
    </row>
    <row r="357" spans="1:5" ht="15" customHeight="1" x14ac:dyDescent="0.35">
      <c r="A357" s="24" t="s">
        <v>5591</v>
      </c>
      <c r="B357" s="24" t="s">
        <v>4054</v>
      </c>
      <c r="C357" s="24" t="s">
        <v>4055</v>
      </c>
      <c r="D357" s="25">
        <v>127.16</v>
      </c>
      <c r="E357" s="24"/>
    </row>
    <row r="358" spans="1:5" ht="15" customHeight="1" x14ac:dyDescent="0.35">
      <c r="A358" s="22" t="s">
        <v>5591</v>
      </c>
      <c r="B358" s="22" t="s">
        <v>4058</v>
      </c>
      <c r="C358" s="22" t="s">
        <v>4059</v>
      </c>
      <c r="D358" s="23">
        <v>448.27</v>
      </c>
      <c r="E358" s="22"/>
    </row>
    <row r="359" spans="1:5" ht="15" customHeight="1" x14ac:dyDescent="0.35">
      <c r="A359" s="24" t="s">
        <v>5591</v>
      </c>
      <c r="B359" s="24" t="s">
        <v>4062</v>
      </c>
      <c r="C359" s="24" t="s">
        <v>4063</v>
      </c>
      <c r="D359" s="25">
        <v>533.46</v>
      </c>
      <c r="E359" s="24"/>
    </row>
    <row r="360" spans="1:5" ht="15" customHeight="1" x14ac:dyDescent="0.35">
      <c r="A360" s="22" t="s">
        <v>5591</v>
      </c>
      <c r="B360" s="22" t="s">
        <v>4066</v>
      </c>
      <c r="C360" s="22" t="s">
        <v>4067</v>
      </c>
      <c r="D360" s="23">
        <v>29.89</v>
      </c>
      <c r="E360" s="22"/>
    </row>
    <row r="361" spans="1:5" ht="15" customHeight="1" x14ac:dyDescent="0.35">
      <c r="A361" s="24" t="s">
        <v>5591</v>
      </c>
      <c r="B361" s="24" t="s">
        <v>5592</v>
      </c>
      <c r="C361" s="24" t="s">
        <v>5593</v>
      </c>
      <c r="D361" s="24"/>
      <c r="E361" s="24" t="s">
        <v>5477</v>
      </c>
    </row>
    <row r="362" spans="1:5" ht="15" customHeight="1" x14ac:dyDescent="0.35">
      <c r="A362" s="22" t="s">
        <v>5591</v>
      </c>
      <c r="B362" s="22" t="s">
        <v>5594</v>
      </c>
      <c r="C362" s="22" t="s">
        <v>5595</v>
      </c>
      <c r="D362" s="22"/>
      <c r="E362" s="22" t="s">
        <v>5477</v>
      </c>
    </row>
    <row r="363" spans="1:5" ht="15" customHeight="1" x14ac:dyDescent="0.35">
      <c r="A363" s="24" t="s">
        <v>5591</v>
      </c>
      <c r="B363" s="24" t="s">
        <v>5596</v>
      </c>
      <c r="C363" s="24" t="s">
        <v>5597</v>
      </c>
      <c r="D363" s="24"/>
      <c r="E363" s="24" t="s">
        <v>5477</v>
      </c>
    </row>
    <row r="364" spans="1:5" ht="15" customHeight="1" x14ac:dyDescent="0.35">
      <c r="A364" s="22" t="s">
        <v>5591</v>
      </c>
      <c r="B364" s="22" t="s">
        <v>4070</v>
      </c>
      <c r="C364" s="22" t="s">
        <v>4071</v>
      </c>
      <c r="D364" s="23">
        <v>4049.52</v>
      </c>
      <c r="E364" s="22"/>
    </row>
    <row r="365" spans="1:5" ht="15" customHeight="1" x14ac:dyDescent="0.35">
      <c r="A365" s="24" t="s">
        <v>5591</v>
      </c>
      <c r="B365" s="24" t="s">
        <v>4074</v>
      </c>
      <c r="C365" s="24" t="s">
        <v>4075</v>
      </c>
      <c r="D365" s="25">
        <v>5379.44</v>
      </c>
      <c r="E365" s="24"/>
    </row>
    <row r="366" spans="1:5" ht="15" customHeight="1" x14ac:dyDescent="0.35">
      <c r="A366" s="22" t="s">
        <v>5591</v>
      </c>
      <c r="B366" s="22" t="s">
        <v>4078</v>
      </c>
      <c r="C366" s="22" t="s">
        <v>4079</v>
      </c>
      <c r="D366" s="23">
        <v>3639.84</v>
      </c>
      <c r="E366" s="22"/>
    </row>
    <row r="367" spans="1:5" ht="15" customHeight="1" x14ac:dyDescent="0.35">
      <c r="A367" s="24" t="s">
        <v>5591</v>
      </c>
      <c r="B367" s="24" t="s">
        <v>4082</v>
      </c>
      <c r="C367" s="24" t="s">
        <v>4083</v>
      </c>
      <c r="D367" s="25">
        <v>3597.16</v>
      </c>
      <c r="E367" s="24"/>
    </row>
    <row r="368" spans="1:5" ht="15" customHeight="1" x14ac:dyDescent="0.35">
      <c r="A368" s="22" t="s">
        <v>5591</v>
      </c>
      <c r="B368" s="22" t="s">
        <v>4086</v>
      </c>
      <c r="C368" s="22" t="s">
        <v>4087</v>
      </c>
      <c r="D368" s="23">
        <v>4357.8999999999996</v>
      </c>
      <c r="E368" s="22"/>
    </row>
    <row r="369" spans="1:5" ht="15" customHeight="1" x14ac:dyDescent="0.35">
      <c r="A369" s="24" t="s">
        <v>5591</v>
      </c>
      <c r="B369" s="24" t="s">
        <v>4090</v>
      </c>
      <c r="C369" s="24" t="s">
        <v>4091</v>
      </c>
      <c r="D369" s="25">
        <v>5618.53</v>
      </c>
      <c r="E369" s="24"/>
    </row>
    <row r="370" spans="1:5" ht="15" customHeight="1" x14ac:dyDescent="0.35">
      <c r="A370" s="22" t="s">
        <v>5591</v>
      </c>
      <c r="B370" s="22" t="s">
        <v>4094</v>
      </c>
      <c r="C370" s="22" t="s">
        <v>4095</v>
      </c>
      <c r="D370" s="23">
        <v>4124.24</v>
      </c>
      <c r="E370" s="22"/>
    </row>
    <row r="371" spans="1:5" ht="15" customHeight="1" x14ac:dyDescent="0.35">
      <c r="A371" s="24" t="s">
        <v>5591</v>
      </c>
      <c r="B371" s="24" t="s">
        <v>4098</v>
      </c>
      <c r="C371" s="24" t="s">
        <v>4099</v>
      </c>
      <c r="D371" s="25">
        <v>821.86</v>
      </c>
      <c r="E371" s="24"/>
    </row>
    <row r="372" spans="1:5" ht="15" customHeight="1" x14ac:dyDescent="0.35">
      <c r="A372" s="22" t="s">
        <v>5591</v>
      </c>
      <c r="B372" s="22" t="s">
        <v>4102</v>
      </c>
      <c r="C372" s="22" t="s">
        <v>4103</v>
      </c>
      <c r="D372" s="23">
        <v>672.44</v>
      </c>
      <c r="E372" s="22"/>
    </row>
    <row r="373" spans="1:5" ht="15" customHeight="1" x14ac:dyDescent="0.35">
      <c r="A373" s="24" t="s">
        <v>5591</v>
      </c>
      <c r="B373" s="24" t="s">
        <v>4106</v>
      </c>
      <c r="C373" s="24" t="s">
        <v>4107</v>
      </c>
      <c r="D373" s="25">
        <v>747.15</v>
      </c>
      <c r="E373" s="24"/>
    </row>
    <row r="374" spans="1:5" ht="15" customHeight="1" x14ac:dyDescent="0.35">
      <c r="A374" s="22" t="s">
        <v>5591</v>
      </c>
      <c r="B374" s="22" t="s">
        <v>4110</v>
      </c>
      <c r="C374" s="22" t="s">
        <v>4111</v>
      </c>
      <c r="D374" s="23">
        <v>597.72</v>
      </c>
      <c r="E374" s="22"/>
    </row>
    <row r="375" spans="1:5" ht="15" customHeight="1" x14ac:dyDescent="0.35">
      <c r="A375" s="24" t="s">
        <v>5591</v>
      </c>
      <c r="B375" s="24" t="s">
        <v>4114</v>
      </c>
      <c r="C375" s="24" t="s">
        <v>4115</v>
      </c>
      <c r="D375" s="25">
        <v>565.12</v>
      </c>
      <c r="E375" s="24"/>
    </row>
    <row r="376" spans="1:5" ht="15" customHeight="1" x14ac:dyDescent="0.35">
      <c r="A376" s="22" t="s">
        <v>5591</v>
      </c>
      <c r="B376" s="22" t="s">
        <v>4118</v>
      </c>
      <c r="C376" s="22" t="s">
        <v>4119</v>
      </c>
      <c r="D376" s="23">
        <v>565.12</v>
      </c>
      <c r="E376" s="22"/>
    </row>
    <row r="377" spans="1:5" ht="15" customHeight="1" x14ac:dyDescent="0.35">
      <c r="A377" s="24" t="s">
        <v>5591</v>
      </c>
      <c r="B377" s="24" t="s">
        <v>4122</v>
      </c>
      <c r="C377" s="24" t="s">
        <v>4123</v>
      </c>
      <c r="D377" s="25">
        <v>2303.6999999999998</v>
      </c>
      <c r="E377" s="24"/>
    </row>
    <row r="378" spans="1:5" ht="15" customHeight="1" x14ac:dyDescent="0.35">
      <c r="A378" s="22" t="s">
        <v>5591</v>
      </c>
      <c r="B378" s="22" t="s">
        <v>4126</v>
      </c>
      <c r="C378" s="22" t="s">
        <v>4127</v>
      </c>
      <c r="D378" s="23">
        <v>747.15</v>
      </c>
      <c r="E378" s="22"/>
    </row>
    <row r="379" spans="1:5" ht="15" customHeight="1" x14ac:dyDescent="0.35">
      <c r="A379" s="24" t="s">
        <v>5591</v>
      </c>
      <c r="B379" s="24" t="s">
        <v>4130</v>
      </c>
      <c r="C379" s="24" t="s">
        <v>4131</v>
      </c>
      <c r="D379" s="25">
        <v>1195.43</v>
      </c>
      <c r="E379" s="24"/>
    </row>
    <row r="380" spans="1:5" ht="15" customHeight="1" x14ac:dyDescent="0.35">
      <c r="A380" s="22" t="s">
        <v>5591</v>
      </c>
      <c r="B380" s="22" t="s">
        <v>4134</v>
      </c>
      <c r="C380" s="22" t="s">
        <v>4135</v>
      </c>
      <c r="D380" s="23">
        <v>672.44</v>
      </c>
      <c r="E380" s="22"/>
    </row>
    <row r="381" spans="1:5" ht="15" customHeight="1" x14ac:dyDescent="0.35">
      <c r="A381" s="24" t="s">
        <v>5591</v>
      </c>
      <c r="B381" s="24" t="s">
        <v>4138</v>
      </c>
      <c r="C381" s="24" t="s">
        <v>4139</v>
      </c>
      <c r="D381" s="25">
        <v>597.72</v>
      </c>
      <c r="E381" s="24"/>
    </row>
    <row r="382" spans="1:5" ht="15" customHeight="1" x14ac:dyDescent="0.35">
      <c r="A382" s="22" t="s">
        <v>5591</v>
      </c>
      <c r="B382" s="22" t="s">
        <v>4142</v>
      </c>
      <c r="C382" s="22" t="s">
        <v>4143</v>
      </c>
      <c r="D382" s="23">
        <v>2241.42</v>
      </c>
      <c r="E382" s="22"/>
    </row>
    <row r="383" spans="1:5" ht="15" customHeight="1" x14ac:dyDescent="0.35">
      <c r="A383" s="24" t="s">
        <v>5591</v>
      </c>
      <c r="B383" s="24" t="s">
        <v>4146</v>
      </c>
      <c r="C383" s="24" t="s">
        <v>4147</v>
      </c>
      <c r="D383" s="25">
        <v>1045.99</v>
      </c>
      <c r="E383" s="24"/>
    </row>
    <row r="384" spans="1:5" ht="15" customHeight="1" x14ac:dyDescent="0.35">
      <c r="A384" s="22" t="s">
        <v>5591</v>
      </c>
      <c r="B384" s="22" t="s">
        <v>4150</v>
      </c>
      <c r="C384" s="22" t="s">
        <v>4151</v>
      </c>
      <c r="D384" s="23">
        <v>1124.8</v>
      </c>
      <c r="E384" s="22"/>
    </row>
    <row r="385" spans="1:5" ht="15" customHeight="1" x14ac:dyDescent="0.35">
      <c r="A385" s="24" t="s">
        <v>5591</v>
      </c>
      <c r="B385" s="24" t="s">
        <v>4154</v>
      </c>
      <c r="C385" s="24" t="s">
        <v>4155</v>
      </c>
      <c r="D385" s="25">
        <v>1124.8</v>
      </c>
      <c r="E385" s="24"/>
    </row>
    <row r="386" spans="1:5" ht="15" customHeight="1" x14ac:dyDescent="0.35">
      <c r="A386" s="22" t="s">
        <v>5591</v>
      </c>
      <c r="B386" s="22" t="s">
        <v>4158</v>
      </c>
      <c r="C386" s="22" t="s">
        <v>4159</v>
      </c>
      <c r="D386" s="23">
        <v>1124.8</v>
      </c>
      <c r="E386" s="22"/>
    </row>
    <row r="387" spans="1:5" ht="15" customHeight="1" x14ac:dyDescent="0.35">
      <c r="A387" s="24" t="s">
        <v>5591</v>
      </c>
      <c r="B387" s="24" t="s">
        <v>4162</v>
      </c>
      <c r="C387" s="24" t="s">
        <v>4163</v>
      </c>
      <c r="D387" s="25">
        <v>224.14</v>
      </c>
      <c r="E387" s="24"/>
    </row>
    <row r="388" spans="1:5" ht="15" customHeight="1" x14ac:dyDescent="0.35">
      <c r="A388" s="22" t="s">
        <v>5591</v>
      </c>
      <c r="B388" s="22" t="s">
        <v>4166</v>
      </c>
      <c r="C388" s="22" t="s">
        <v>4167</v>
      </c>
      <c r="D388" s="23">
        <v>224.14</v>
      </c>
      <c r="E388" s="22"/>
    </row>
    <row r="389" spans="1:5" ht="15" customHeight="1" x14ac:dyDescent="0.35">
      <c r="A389" s="24" t="s">
        <v>5591</v>
      </c>
      <c r="B389" s="24" t="s">
        <v>4170</v>
      </c>
      <c r="C389" s="24" t="s">
        <v>4171</v>
      </c>
      <c r="D389" s="25">
        <v>224.14</v>
      </c>
      <c r="E389" s="24"/>
    </row>
    <row r="390" spans="1:5" ht="15" customHeight="1" x14ac:dyDescent="0.35">
      <c r="A390" s="22" t="s">
        <v>5591</v>
      </c>
      <c r="B390" s="22" t="s">
        <v>4174</v>
      </c>
      <c r="C390" s="22" t="s">
        <v>4175</v>
      </c>
      <c r="D390" s="23">
        <v>2472.92</v>
      </c>
      <c r="E390" s="22"/>
    </row>
    <row r="391" spans="1:5" ht="15" customHeight="1" x14ac:dyDescent="0.35">
      <c r="A391" s="24" t="s">
        <v>5591</v>
      </c>
      <c r="B391" s="24" t="s">
        <v>4178</v>
      </c>
      <c r="C391" s="24" t="s">
        <v>4179</v>
      </c>
      <c r="D391" s="25">
        <v>2770.01</v>
      </c>
      <c r="E391" s="24"/>
    </row>
    <row r="392" spans="1:5" ht="15" customHeight="1" x14ac:dyDescent="0.35">
      <c r="A392" s="22" t="s">
        <v>5591</v>
      </c>
      <c r="B392" s="22" t="s">
        <v>4182</v>
      </c>
      <c r="C392" s="22" t="s">
        <v>4183</v>
      </c>
      <c r="D392" s="23">
        <v>448.27</v>
      </c>
      <c r="E392" s="22"/>
    </row>
    <row r="393" spans="1:5" ht="15" customHeight="1" x14ac:dyDescent="0.35">
      <c r="A393" s="24" t="s">
        <v>5591</v>
      </c>
      <c r="B393" s="24" t="s">
        <v>4186</v>
      </c>
      <c r="C393" s="24" t="s">
        <v>4187</v>
      </c>
      <c r="D393" s="25">
        <v>1054.18</v>
      </c>
      <c r="E393" s="24"/>
    </row>
    <row r="394" spans="1:5" ht="15" customHeight="1" x14ac:dyDescent="0.35">
      <c r="A394" s="22" t="s">
        <v>5591</v>
      </c>
      <c r="B394" s="22" t="s">
        <v>4190</v>
      </c>
      <c r="C394" s="22" t="s">
        <v>4191</v>
      </c>
      <c r="D394" s="23">
        <v>1051.4100000000001</v>
      </c>
      <c r="E394" s="22"/>
    </row>
    <row r="395" spans="1:5" ht="15" customHeight="1" x14ac:dyDescent="0.35">
      <c r="A395" s="24" t="s">
        <v>5591</v>
      </c>
      <c r="B395" s="24" t="s">
        <v>4194</v>
      </c>
      <c r="C395" s="24" t="s">
        <v>4195</v>
      </c>
      <c r="D395" s="25">
        <v>1506.62</v>
      </c>
      <c r="E395" s="24"/>
    </row>
    <row r="396" spans="1:5" ht="15" customHeight="1" x14ac:dyDescent="0.35">
      <c r="A396" s="22" t="s">
        <v>5591</v>
      </c>
      <c r="B396" s="22" t="s">
        <v>4198</v>
      </c>
      <c r="C396" s="22" t="s">
        <v>4199</v>
      </c>
      <c r="D396" s="23">
        <v>666.23</v>
      </c>
      <c r="E396" s="22"/>
    </row>
    <row r="397" spans="1:5" ht="15" customHeight="1" x14ac:dyDescent="0.35">
      <c r="A397" s="24" t="s">
        <v>5591</v>
      </c>
      <c r="B397" s="24" t="s">
        <v>4202</v>
      </c>
      <c r="C397" s="24" t="s">
        <v>4203</v>
      </c>
      <c r="D397" s="25">
        <v>701.86</v>
      </c>
      <c r="E397" s="24"/>
    </row>
    <row r="398" spans="1:5" ht="15" customHeight="1" x14ac:dyDescent="0.35">
      <c r="A398" s="22" t="s">
        <v>5591</v>
      </c>
      <c r="B398" s="22" t="s">
        <v>4206</v>
      </c>
      <c r="C398" s="22" t="s">
        <v>4207</v>
      </c>
      <c r="D398" s="23">
        <v>1420.82</v>
      </c>
      <c r="E398" s="22"/>
    </row>
    <row r="399" spans="1:5" ht="15" customHeight="1" x14ac:dyDescent="0.35">
      <c r="A399" s="24" t="s">
        <v>5591</v>
      </c>
      <c r="B399" s="24" t="s">
        <v>4210</v>
      </c>
      <c r="C399" s="24" t="s">
        <v>4211</v>
      </c>
      <c r="D399" s="25">
        <v>1295.8399999999999</v>
      </c>
      <c r="E399" s="24"/>
    </row>
    <row r="400" spans="1:5" ht="15" customHeight="1" x14ac:dyDescent="0.35">
      <c r="A400" s="22" t="s">
        <v>5591</v>
      </c>
      <c r="B400" s="22" t="s">
        <v>4214</v>
      </c>
      <c r="C400" s="22" t="s">
        <v>4215</v>
      </c>
      <c r="D400" s="23">
        <v>2771.69</v>
      </c>
      <c r="E400" s="22"/>
    </row>
    <row r="401" spans="1:5" ht="15" customHeight="1" x14ac:dyDescent="0.35">
      <c r="A401" s="24" t="s">
        <v>5591</v>
      </c>
      <c r="B401" s="24" t="s">
        <v>4218</v>
      </c>
      <c r="C401" s="24" t="s">
        <v>4219</v>
      </c>
      <c r="D401" s="25">
        <v>2550.09</v>
      </c>
      <c r="E401" s="24"/>
    </row>
    <row r="402" spans="1:5" ht="15" customHeight="1" x14ac:dyDescent="0.35">
      <c r="A402" s="22" t="s">
        <v>5591</v>
      </c>
      <c r="B402" s="22" t="s">
        <v>4222</v>
      </c>
      <c r="C402" s="22" t="s">
        <v>4223</v>
      </c>
      <c r="D402" s="23">
        <v>2158.23</v>
      </c>
      <c r="E402" s="22"/>
    </row>
    <row r="403" spans="1:5" ht="15" customHeight="1" x14ac:dyDescent="0.35">
      <c r="A403" s="24" t="s">
        <v>5591</v>
      </c>
      <c r="B403" s="24" t="s">
        <v>4226</v>
      </c>
      <c r="C403" s="24" t="s">
        <v>4227</v>
      </c>
      <c r="D403" s="25">
        <v>2886.14</v>
      </c>
      <c r="E403" s="24"/>
    </row>
    <row r="404" spans="1:5" ht="15" customHeight="1" x14ac:dyDescent="0.35">
      <c r="A404" s="22" t="s">
        <v>5591</v>
      </c>
      <c r="B404" s="22" t="s">
        <v>4230</v>
      </c>
      <c r="C404" s="22" t="s">
        <v>4231</v>
      </c>
      <c r="D404" s="23">
        <v>366.18</v>
      </c>
      <c r="E404" s="22"/>
    </row>
    <row r="405" spans="1:5" ht="15" customHeight="1" x14ac:dyDescent="0.35">
      <c r="A405" s="24" t="s">
        <v>5591</v>
      </c>
      <c r="B405" s="24" t="s">
        <v>4234</v>
      </c>
      <c r="C405" s="24" t="s">
        <v>4235</v>
      </c>
      <c r="D405" s="25">
        <v>2706.72</v>
      </c>
      <c r="E405" s="24"/>
    </row>
    <row r="406" spans="1:5" ht="15" customHeight="1" x14ac:dyDescent="0.35">
      <c r="A406" s="22" t="s">
        <v>5591</v>
      </c>
      <c r="B406" s="22" t="s">
        <v>4238</v>
      </c>
      <c r="C406" s="22" t="s">
        <v>4239</v>
      </c>
      <c r="D406" s="23">
        <v>10319.709999999999</v>
      </c>
      <c r="E406" s="22"/>
    </row>
    <row r="407" spans="1:5" ht="15" customHeight="1" x14ac:dyDescent="0.35">
      <c r="A407" s="24" t="s">
        <v>5591</v>
      </c>
      <c r="B407" s="24" t="s">
        <v>4242</v>
      </c>
      <c r="C407" s="24" t="s">
        <v>4243</v>
      </c>
      <c r="D407" s="25">
        <v>13286.2</v>
      </c>
      <c r="E407" s="24"/>
    </row>
    <row r="408" spans="1:5" ht="15" customHeight="1" x14ac:dyDescent="0.35">
      <c r="A408" s="22" t="s">
        <v>5591</v>
      </c>
      <c r="B408" s="22" t="s">
        <v>4246</v>
      </c>
      <c r="C408" s="22" t="s">
        <v>4247</v>
      </c>
      <c r="D408" s="23">
        <v>508.14</v>
      </c>
      <c r="E408" s="22"/>
    </row>
    <row r="409" spans="1:5" ht="15" customHeight="1" x14ac:dyDescent="0.35">
      <c r="A409" s="24" t="s">
        <v>5591</v>
      </c>
      <c r="B409" s="24" t="s">
        <v>5598</v>
      </c>
      <c r="C409" s="24" t="s">
        <v>5599</v>
      </c>
      <c r="D409" s="24"/>
      <c r="E409" s="24" t="s">
        <v>5477</v>
      </c>
    </row>
    <row r="410" spans="1:5" ht="15" customHeight="1" x14ac:dyDescent="0.35">
      <c r="A410" s="22" t="s">
        <v>5591</v>
      </c>
      <c r="B410" s="22" t="s">
        <v>4250</v>
      </c>
      <c r="C410" s="22" t="s">
        <v>4251</v>
      </c>
      <c r="D410" s="23">
        <v>25.16</v>
      </c>
      <c r="E410" s="22"/>
    </row>
    <row r="411" spans="1:5" ht="15" customHeight="1" x14ac:dyDescent="0.35">
      <c r="A411" s="24" t="s">
        <v>5591</v>
      </c>
      <c r="B411" s="24" t="s">
        <v>4254</v>
      </c>
      <c r="C411" s="24" t="s">
        <v>4255</v>
      </c>
      <c r="D411" s="25">
        <v>25.16</v>
      </c>
      <c r="E411" s="24"/>
    </row>
    <row r="412" spans="1:5" ht="15" customHeight="1" x14ac:dyDescent="0.35">
      <c r="A412" s="22" t="s">
        <v>5591</v>
      </c>
      <c r="B412" s="22" t="s">
        <v>5600</v>
      </c>
      <c r="C412" s="22" t="s">
        <v>5601</v>
      </c>
      <c r="D412" s="22"/>
      <c r="E412" s="22" t="s">
        <v>5477</v>
      </c>
    </row>
    <row r="413" spans="1:5" ht="15" customHeight="1" x14ac:dyDescent="0.35">
      <c r="A413" s="24" t="s">
        <v>5591</v>
      </c>
      <c r="B413" s="24" t="s">
        <v>5602</v>
      </c>
      <c r="C413" s="24" t="s">
        <v>5603</v>
      </c>
      <c r="D413" s="24"/>
      <c r="E413" s="24" t="s">
        <v>5477</v>
      </c>
    </row>
    <row r="414" spans="1:5" ht="23.25" customHeight="1" x14ac:dyDescent="0.35">
      <c r="A414" s="22" t="s">
        <v>5591</v>
      </c>
      <c r="B414" s="22" t="s">
        <v>4258</v>
      </c>
      <c r="C414" s="22" t="s">
        <v>4259</v>
      </c>
      <c r="D414" s="23">
        <v>2475.38</v>
      </c>
      <c r="E414" s="22"/>
    </row>
    <row r="415" spans="1:5" ht="15" customHeight="1" x14ac:dyDescent="0.35">
      <c r="A415" s="24" t="s">
        <v>5591</v>
      </c>
      <c r="B415" s="24" t="s">
        <v>5604</v>
      </c>
      <c r="C415" s="24" t="s">
        <v>5605</v>
      </c>
      <c r="D415" s="24"/>
      <c r="E415" s="24" t="s">
        <v>5477</v>
      </c>
    </row>
    <row r="416" spans="1:5" ht="15" customHeight="1" x14ac:dyDescent="0.35">
      <c r="A416" s="22" t="s">
        <v>5591</v>
      </c>
      <c r="B416" s="22" t="s">
        <v>5606</v>
      </c>
      <c r="C416" s="22" t="s">
        <v>5607</v>
      </c>
      <c r="D416" s="22"/>
      <c r="E416" s="22" t="s">
        <v>5477</v>
      </c>
    </row>
    <row r="417" spans="1:5" ht="15" customHeight="1" x14ac:dyDescent="0.35">
      <c r="A417" s="24" t="s">
        <v>5591</v>
      </c>
      <c r="B417" s="24" t="s">
        <v>5608</v>
      </c>
      <c r="C417" s="24" t="s">
        <v>5609</v>
      </c>
      <c r="D417" s="24"/>
      <c r="E417" s="24" t="s">
        <v>5477</v>
      </c>
    </row>
    <row r="418" spans="1:5" ht="15" customHeight="1" x14ac:dyDescent="0.35">
      <c r="A418" s="22" t="s">
        <v>5591</v>
      </c>
      <c r="B418" s="22" t="s">
        <v>4262</v>
      </c>
      <c r="C418" s="22" t="s">
        <v>4263</v>
      </c>
      <c r="D418" s="22"/>
      <c r="E418" s="22" t="s">
        <v>5477</v>
      </c>
    </row>
    <row r="419" spans="1:5" ht="15" customHeight="1" x14ac:dyDescent="0.35">
      <c r="A419" s="24" t="s">
        <v>5591</v>
      </c>
      <c r="B419" s="24" t="s">
        <v>4262</v>
      </c>
      <c r="C419" s="24" t="s">
        <v>4263</v>
      </c>
      <c r="D419" s="25">
        <v>850.92</v>
      </c>
      <c r="E419" s="24"/>
    </row>
    <row r="420" spans="1:5" ht="15" customHeight="1" x14ac:dyDescent="0.35">
      <c r="A420" s="22" t="s">
        <v>5591</v>
      </c>
      <c r="B420" s="22" t="s">
        <v>5610</v>
      </c>
      <c r="C420" s="22" t="s">
        <v>5611</v>
      </c>
      <c r="D420" s="22"/>
      <c r="E420" s="22" t="s">
        <v>5477</v>
      </c>
    </row>
    <row r="421" spans="1:5" ht="15" customHeight="1" x14ac:dyDescent="0.35">
      <c r="A421" s="24" t="s">
        <v>5591</v>
      </c>
      <c r="B421" s="24" t="s">
        <v>5612</v>
      </c>
      <c r="C421" s="24" t="s">
        <v>5613</v>
      </c>
      <c r="D421" s="24"/>
      <c r="E421" s="24" t="s">
        <v>5477</v>
      </c>
    </row>
    <row r="422" spans="1:5" ht="15" customHeight="1" x14ac:dyDescent="0.35">
      <c r="A422" s="22" t="s">
        <v>5591</v>
      </c>
      <c r="B422" s="22" t="s">
        <v>5614</v>
      </c>
      <c r="C422" s="22" t="s">
        <v>5615</v>
      </c>
      <c r="D422" s="22"/>
      <c r="E422" s="22" t="s">
        <v>5477</v>
      </c>
    </row>
    <row r="423" spans="1:5" ht="15" customHeight="1" x14ac:dyDescent="0.35">
      <c r="A423" s="24" t="s">
        <v>5591</v>
      </c>
      <c r="B423" s="24" t="s">
        <v>5616</v>
      </c>
      <c r="C423" s="24" t="s">
        <v>5617</v>
      </c>
      <c r="D423" s="24"/>
      <c r="E423" s="24" t="s">
        <v>5477</v>
      </c>
    </row>
    <row r="424" spans="1:5" ht="15" customHeight="1" x14ac:dyDescent="0.35">
      <c r="A424" s="22" t="s">
        <v>5591</v>
      </c>
      <c r="B424" s="22" t="s">
        <v>5618</v>
      </c>
      <c r="C424" s="22" t="s">
        <v>5619</v>
      </c>
      <c r="D424" s="22"/>
      <c r="E424" s="22" t="s">
        <v>5477</v>
      </c>
    </row>
    <row r="425" spans="1:5" ht="15" customHeight="1" x14ac:dyDescent="0.35">
      <c r="A425" s="24" t="s">
        <v>5591</v>
      </c>
      <c r="B425" s="24" t="s">
        <v>5620</v>
      </c>
      <c r="C425" s="24" t="s">
        <v>5621</v>
      </c>
      <c r="D425" s="24"/>
      <c r="E425" s="24" t="s">
        <v>5477</v>
      </c>
    </row>
    <row r="426" spans="1:5" ht="15" customHeight="1" x14ac:dyDescent="0.35">
      <c r="A426" s="22" t="s">
        <v>5591</v>
      </c>
      <c r="B426" s="22" t="s">
        <v>5622</v>
      </c>
      <c r="C426" s="22" t="s">
        <v>5623</v>
      </c>
      <c r="D426" s="22"/>
      <c r="E426" s="22" t="s">
        <v>5477</v>
      </c>
    </row>
    <row r="427" spans="1:5" ht="15" customHeight="1" x14ac:dyDescent="0.35">
      <c r="A427" s="24" t="s">
        <v>5591</v>
      </c>
      <c r="B427" s="24" t="s">
        <v>5624</v>
      </c>
      <c r="C427" s="24" t="s">
        <v>5625</v>
      </c>
      <c r="D427" s="24"/>
      <c r="E427" s="24" t="s">
        <v>5477</v>
      </c>
    </row>
    <row r="428" spans="1:5" ht="15" customHeight="1" x14ac:dyDescent="0.35">
      <c r="A428" s="22" t="s">
        <v>5591</v>
      </c>
      <c r="B428" s="22" t="s">
        <v>5626</v>
      </c>
      <c r="C428" s="22" t="s">
        <v>5627</v>
      </c>
      <c r="D428" s="22"/>
      <c r="E428" s="22" t="s">
        <v>5477</v>
      </c>
    </row>
    <row r="429" spans="1:5" ht="15" customHeight="1" x14ac:dyDescent="0.35">
      <c r="A429" s="24" t="s">
        <v>5591</v>
      </c>
      <c r="B429" s="24" t="s">
        <v>5628</v>
      </c>
      <c r="C429" s="24" t="s">
        <v>5629</v>
      </c>
      <c r="D429" s="24"/>
      <c r="E429" s="24" t="s">
        <v>5477</v>
      </c>
    </row>
    <row r="430" spans="1:5" ht="15" customHeight="1" x14ac:dyDescent="0.35">
      <c r="A430" s="22" t="s">
        <v>5591</v>
      </c>
      <c r="B430" s="22" t="s">
        <v>5630</v>
      </c>
      <c r="C430" s="22" t="s">
        <v>5631</v>
      </c>
      <c r="D430" s="22"/>
      <c r="E430" s="22" t="s">
        <v>5477</v>
      </c>
    </row>
    <row r="431" spans="1:5" ht="15" customHeight="1" x14ac:dyDescent="0.35">
      <c r="A431" s="24" t="s">
        <v>5591</v>
      </c>
      <c r="B431" s="24" t="s">
        <v>5632</v>
      </c>
      <c r="C431" s="24" t="s">
        <v>5633</v>
      </c>
      <c r="D431" s="24"/>
      <c r="E431" s="24" t="s">
        <v>5477</v>
      </c>
    </row>
    <row r="432" spans="1:5" ht="15" customHeight="1" x14ac:dyDescent="0.35">
      <c r="A432" s="22" t="s">
        <v>5591</v>
      </c>
      <c r="B432" s="22" t="s">
        <v>5634</v>
      </c>
      <c r="C432" s="22" t="s">
        <v>5635</v>
      </c>
      <c r="D432" s="22"/>
      <c r="E432" s="22" t="s">
        <v>5477</v>
      </c>
    </row>
    <row r="433" spans="1:5" ht="15" customHeight="1" x14ac:dyDescent="0.35">
      <c r="A433" s="24" t="s">
        <v>5591</v>
      </c>
      <c r="B433" s="24" t="s">
        <v>5636</v>
      </c>
      <c r="C433" s="24" t="s">
        <v>5637</v>
      </c>
      <c r="D433" s="24"/>
      <c r="E433" s="24" t="s">
        <v>5477</v>
      </c>
    </row>
    <row r="434" spans="1:5" ht="15" customHeight="1" x14ac:dyDescent="0.35">
      <c r="A434" s="22" t="s">
        <v>5591</v>
      </c>
      <c r="B434" s="22" t="s">
        <v>5638</v>
      </c>
      <c r="C434" s="22" t="s">
        <v>5639</v>
      </c>
      <c r="D434" s="22"/>
      <c r="E434" s="22" t="s">
        <v>5477</v>
      </c>
    </row>
    <row r="435" spans="1:5" ht="15" customHeight="1" x14ac:dyDescent="0.35">
      <c r="A435" s="24" t="s">
        <v>5591</v>
      </c>
      <c r="B435" s="24" t="s">
        <v>5640</v>
      </c>
      <c r="C435" s="24" t="s">
        <v>5641</v>
      </c>
      <c r="D435" s="24"/>
      <c r="E435" s="24" t="s">
        <v>5477</v>
      </c>
    </row>
    <row r="436" spans="1:5" ht="15" customHeight="1" x14ac:dyDescent="0.35">
      <c r="A436" s="22" t="s">
        <v>5591</v>
      </c>
      <c r="B436" s="22" t="s">
        <v>5642</v>
      </c>
      <c r="C436" s="22" t="s">
        <v>5643</v>
      </c>
      <c r="D436" s="22"/>
      <c r="E436" s="22" t="s">
        <v>5477</v>
      </c>
    </row>
    <row r="437" spans="1:5" ht="15" customHeight="1" x14ac:dyDescent="0.35">
      <c r="A437" s="24" t="s">
        <v>5591</v>
      </c>
      <c r="B437" s="24" t="s">
        <v>5644</v>
      </c>
      <c r="C437" s="24" t="s">
        <v>5645</v>
      </c>
      <c r="D437" s="24"/>
      <c r="E437" s="24" t="s">
        <v>5477</v>
      </c>
    </row>
    <row r="438" spans="1:5" ht="15" customHeight="1" x14ac:dyDescent="0.35">
      <c r="A438" s="22" t="s">
        <v>5591</v>
      </c>
      <c r="B438" s="22" t="s">
        <v>5646</v>
      </c>
      <c r="C438" s="22" t="s">
        <v>5647</v>
      </c>
      <c r="D438" s="22"/>
      <c r="E438" s="22" t="s">
        <v>5477</v>
      </c>
    </row>
    <row r="439" spans="1:5" ht="15" customHeight="1" x14ac:dyDescent="0.35">
      <c r="A439" s="24" t="s">
        <v>5591</v>
      </c>
      <c r="B439" s="24" t="s">
        <v>5648</v>
      </c>
      <c r="C439" s="24" t="s">
        <v>5649</v>
      </c>
      <c r="D439" s="24"/>
      <c r="E439" s="24" t="s">
        <v>5477</v>
      </c>
    </row>
    <row r="440" spans="1:5" ht="15" customHeight="1" x14ac:dyDescent="0.35">
      <c r="A440" s="22" t="s">
        <v>5591</v>
      </c>
      <c r="B440" s="22" t="s">
        <v>5650</v>
      </c>
      <c r="C440" s="22" t="s">
        <v>5651</v>
      </c>
      <c r="D440" s="22"/>
      <c r="E440" s="22" t="s">
        <v>5477</v>
      </c>
    </row>
    <row r="441" spans="1:5" ht="15" customHeight="1" x14ac:dyDescent="0.35">
      <c r="A441" s="24" t="s">
        <v>5591</v>
      </c>
      <c r="B441" s="24" t="s">
        <v>5652</v>
      </c>
      <c r="C441" s="24" t="s">
        <v>5653</v>
      </c>
      <c r="D441" s="24"/>
      <c r="E441" s="24" t="s">
        <v>5477</v>
      </c>
    </row>
    <row r="442" spans="1:5" ht="15" customHeight="1" x14ac:dyDescent="0.35">
      <c r="A442" s="22" t="s">
        <v>5591</v>
      </c>
      <c r="B442" s="22" t="s">
        <v>4266</v>
      </c>
      <c r="C442" s="22" t="s">
        <v>4267</v>
      </c>
      <c r="D442" s="23">
        <v>448.27</v>
      </c>
      <c r="E442" s="22"/>
    </row>
    <row r="443" spans="1:5" ht="15" customHeight="1" x14ac:dyDescent="0.35">
      <c r="A443" s="24" t="s">
        <v>5591</v>
      </c>
      <c r="B443" s="24" t="s">
        <v>4270</v>
      </c>
      <c r="C443" s="24" t="s">
        <v>4271</v>
      </c>
      <c r="D443" s="25">
        <v>448.27</v>
      </c>
      <c r="E443" s="24"/>
    </row>
    <row r="444" spans="1:5" ht="15" customHeight="1" x14ac:dyDescent="0.35">
      <c r="A444" s="22" t="s">
        <v>5591</v>
      </c>
      <c r="B444" s="22" t="s">
        <v>4274</v>
      </c>
      <c r="C444" s="22" t="s">
        <v>4275</v>
      </c>
      <c r="D444" s="23">
        <v>448.27</v>
      </c>
      <c r="E444" s="22"/>
    </row>
    <row r="445" spans="1:5" ht="15" customHeight="1" x14ac:dyDescent="0.35">
      <c r="A445" s="24" t="s">
        <v>5591</v>
      </c>
      <c r="B445" s="24" t="s">
        <v>4278</v>
      </c>
      <c r="C445" s="24" t="s">
        <v>4279</v>
      </c>
      <c r="D445" s="25">
        <v>448.27</v>
      </c>
      <c r="E445" s="24"/>
    </row>
    <row r="446" spans="1:5" ht="15" customHeight="1" x14ac:dyDescent="0.35">
      <c r="A446" s="22" t="s">
        <v>5591</v>
      </c>
      <c r="B446" s="22" t="s">
        <v>4282</v>
      </c>
      <c r="C446" s="22" t="s">
        <v>4283</v>
      </c>
      <c r="D446" s="23">
        <v>2451.31</v>
      </c>
      <c r="E446" s="22"/>
    </row>
    <row r="447" spans="1:5" ht="15" customHeight="1" x14ac:dyDescent="0.35">
      <c r="A447" s="24" t="s">
        <v>5591</v>
      </c>
      <c r="B447" s="24" t="s">
        <v>5654</v>
      </c>
      <c r="C447" s="24" t="s">
        <v>5655</v>
      </c>
      <c r="D447" s="24"/>
      <c r="E447" s="24" t="s">
        <v>5477</v>
      </c>
    </row>
    <row r="448" spans="1:5" ht="15" customHeight="1" x14ac:dyDescent="0.35">
      <c r="A448" s="22" t="s">
        <v>5591</v>
      </c>
      <c r="B448" s="22" t="s">
        <v>4286</v>
      </c>
      <c r="C448" s="22" t="s">
        <v>4287</v>
      </c>
      <c r="D448" s="23">
        <v>704.38</v>
      </c>
      <c r="E448" s="22"/>
    </row>
    <row r="449" spans="1:5" ht="15" customHeight="1" x14ac:dyDescent="0.35">
      <c r="A449" s="24" t="s">
        <v>5591</v>
      </c>
      <c r="B449" s="24" t="s">
        <v>4290</v>
      </c>
      <c r="C449" s="24" t="s">
        <v>4291</v>
      </c>
      <c r="D449" s="25">
        <v>169.65</v>
      </c>
      <c r="E449" s="24"/>
    </row>
    <row r="450" spans="1:5" ht="15" customHeight="1" x14ac:dyDescent="0.35">
      <c r="A450" s="22" t="s">
        <v>5591</v>
      </c>
      <c r="B450" s="22" t="s">
        <v>4294</v>
      </c>
      <c r="C450" s="22" t="s">
        <v>4295</v>
      </c>
      <c r="D450" s="23">
        <v>228.22</v>
      </c>
      <c r="E450" s="22"/>
    </row>
    <row r="451" spans="1:5" ht="15" customHeight="1" x14ac:dyDescent="0.35">
      <c r="A451" s="24" t="s">
        <v>5591</v>
      </c>
      <c r="B451" s="24" t="s">
        <v>4298</v>
      </c>
      <c r="C451" s="24" t="s">
        <v>4299</v>
      </c>
      <c r="D451" s="25">
        <v>373.57</v>
      </c>
      <c r="E451" s="24"/>
    </row>
    <row r="452" spans="1:5" ht="15" customHeight="1" x14ac:dyDescent="0.35">
      <c r="A452" s="22" t="s">
        <v>5591</v>
      </c>
      <c r="B452" s="22" t="s">
        <v>4302</v>
      </c>
      <c r="C452" s="22" t="s">
        <v>4303</v>
      </c>
      <c r="D452" s="23">
        <v>403.45</v>
      </c>
      <c r="E452" s="22"/>
    </row>
    <row r="453" spans="1:5" ht="15" customHeight="1" x14ac:dyDescent="0.35">
      <c r="A453" s="24" t="s">
        <v>5591</v>
      </c>
      <c r="B453" s="24" t="s">
        <v>4306</v>
      </c>
      <c r="C453" s="24" t="s">
        <v>4307</v>
      </c>
      <c r="D453" s="25">
        <v>194.26</v>
      </c>
      <c r="E453" s="24"/>
    </row>
    <row r="454" spans="1:5" ht="15" customHeight="1" x14ac:dyDescent="0.35">
      <c r="A454" s="22" t="s">
        <v>5591</v>
      </c>
      <c r="B454" s="22" t="s">
        <v>4310</v>
      </c>
      <c r="C454" s="22" t="s">
        <v>4311</v>
      </c>
      <c r="D454" s="23">
        <v>328.74</v>
      </c>
      <c r="E454" s="22"/>
    </row>
    <row r="455" spans="1:5" ht="15" customHeight="1" x14ac:dyDescent="0.35">
      <c r="A455" s="24" t="s">
        <v>5591</v>
      </c>
      <c r="B455" s="24" t="s">
        <v>4314</v>
      </c>
      <c r="C455" s="24" t="s">
        <v>4315</v>
      </c>
      <c r="D455" s="25">
        <v>3863.41</v>
      </c>
      <c r="E455" s="24"/>
    </row>
    <row r="456" spans="1:5" ht="15" customHeight="1" x14ac:dyDescent="0.35">
      <c r="A456" s="22" t="s">
        <v>5591</v>
      </c>
      <c r="B456" s="22" t="s">
        <v>4318</v>
      </c>
      <c r="C456" s="22" t="s">
        <v>4319</v>
      </c>
      <c r="D456" s="23">
        <v>2689.73</v>
      </c>
      <c r="E456" s="22"/>
    </row>
    <row r="457" spans="1:5" ht="15" customHeight="1" x14ac:dyDescent="0.35">
      <c r="A457" s="24" t="s">
        <v>5591</v>
      </c>
      <c r="B457" s="24" t="s">
        <v>4322</v>
      </c>
      <c r="C457" s="24" t="s">
        <v>4323</v>
      </c>
      <c r="D457" s="25">
        <v>2913.85</v>
      </c>
      <c r="E457" s="24"/>
    </row>
    <row r="458" spans="1:5" ht="15" customHeight="1" x14ac:dyDescent="0.35">
      <c r="A458" s="22" t="s">
        <v>5591</v>
      </c>
      <c r="B458" s="22" t="s">
        <v>4326</v>
      </c>
      <c r="C458" s="22" t="s">
        <v>4327</v>
      </c>
      <c r="D458" s="23">
        <v>3135.28</v>
      </c>
      <c r="E458" s="22"/>
    </row>
    <row r="459" spans="1:5" ht="15" customHeight="1" x14ac:dyDescent="0.35">
      <c r="A459" s="24" t="s">
        <v>5591</v>
      </c>
      <c r="B459" s="24" t="s">
        <v>4330</v>
      </c>
      <c r="C459" s="24" t="s">
        <v>4331</v>
      </c>
      <c r="D459" s="25">
        <v>2657.12</v>
      </c>
      <c r="E459" s="24"/>
    </row>
    <row r="460" spans="1:5" ht="15" customHeight="1" x14ac:dyDescent="0.35">
      <c r="A460" s="22" t="s">
        <v>5591</v>
      </c>
      <c r="B460" s="22" t="s">
        <v>4334</v>
      </c>
      <c r="C460" s="22" t="s">
        <v>4335</v>
      </c>
      <c r="D460" s="23">
        <v>2689.73</v>
      </c>
      <c r="E460" s="22"/>
    </row>
    <row r="461" spans="1:5" ht="15" customHeight="1" x14ac:dyDescent="0.35">
      <c r="A461" s="24" t="s">
        <v>5591</v>
      </c>
      <c r="B461" s="24" t="s">
        <v>4338</v>
      </c>
      <c r="C461" s="24" t="s">
        <v>4339</v>
      </c>
      <c r="D461" s="25">
        <v>2913.85</v>
      </c>
      <c r="E461" s="24"/>
    </row>
    <row r="462" spans="1:5" ht="15" customHeight="1" x14ac:dyDescent="0.35">
      <c r="A462" s="22" t="s">
        <v>5591</v>
      </c>
      <c r="B462" s="22" t="s">
        <v>4342</v>
      </c>
      <c r="C462" s="22" t="s">
        <v>4343</v>
      </c>
      <c r="D462" s="23">
        <v>1045.99</v>
      </c>
      <c r="E462" s="22"/>
    </row>
    <row r="463" spans="1:5" ht="15" customHeight="1" x14ac:dyDescent="0.35">
      <c r="A463" s="24" t="s">
        <v>5591</v>
      </c>
      <c r="B463" s="24" t="s">
        <v>4346</v>
      </c>
      <c r="C463" s="24" t="s">
        <v>4347</v>
      </c>
      <c r="D463" s="25">
        <v>672.44</v>
      </c>
      <c r="E463" s="24"/>
    </row>
    <row r="464" spans="1:5" ht="15" customHeight="1" x14ac:dyDescent="0.35">
      <c r="A464" s="22" t="s">
        <v>5591</v>
      </c>
      <c r="B464" s="22" t="s">
        <v>4350</v>
      </c>
      <c r="C464" s="22" t="s">
        <v>4351</v>
      </c>
      <c r="D464" s="23">
        <v>932.43</v>
      </c>
      <c r="E464" s="22"/>
    </row>
    <row r="465" spans="1:5" ht="15" customHeight="1" x14ac:dyDescent="0.35">
      <c r="A465" s="24" t="s">
        <v>5591</v>
      </c>
      <c r="B465" s="24" t="s">
        <v>4354</v>
      </c>
      <c r="C465" s="24" t="s">
        <v>4355</v>
      </c>
      <c r="D465" s="25">
        <v>1344.86</v>
      </c>
      <c r="E465" s="24"/>
    </row>
    <row r="466" spans="1:5" ht="15" customHeight="1" x14ac:dyDescent="0.35">
      <c r="A466" s="22" t="s">
        <v>5591</v>
      </c>
      <c r="B466" s="22" t="s">
        <v>4358</v>
      </c>
      <c r="C466" s="22" t="s">
        <v>4359</v>
      </c>
      <c r="D466" s="23">
        <v>1120.71</v>
      </c>
      <c r="E466" s="22"/>
    </row>
    <row r="467" spans="1:5" ht="15" customHeight="1" x14ac:dyDescent="0.35">
      <c r="A467" s="24" t="s">
        <v>5591</v>
      </c>
      <c r="B467" s="24" t="s">
        <v>4362</v>
      </c>
      <c r="C467" s="24" t="s">
        <v>4363</v>
      </c>
      <c r="D467" s="25">
        <v>971.3</v>
      </c>
      <c r="E467" s="24"/>
    </row>
    <row r="468" spans="1:5" ht="15" customHeight="1" x14ac:dyDescent="0.35">
      <c r="A468" s="22" t="s">
        <v>5591</v>
      </c>
      <c r="B468" s="22" t="s">
        <v>4366</v>
      </c>
      <c r="C468" s="22" t="s">
        <v>4367</v>
      </c>
      <c r="D468" s="23">
        <v>1010.15</v>
      </c>
      <c r="E468" s="22"/>
    </row>
    <row r="469" spans="1:5" ht="15" customHeight="1" x14ac:dyDescent="0.35">
      <c r="A469" s="24" t="s">
        <v>5591</v>
      </c>
      <c r="B469" s="24" t="s">
        <v>4370</v>
      </c>
      <c r="C469" s="24" t="s">
        <v>4371</v>
      </c>
      <c r="D469" s="25">
        <v>254.98</v>
      </c>
      <c r="E469" s="24"/>
    </row>
    <row r="470" spans="1:5" ht="15" customHeight="1" x14ac:dyDescent="0.35">
      <c r="A470" s="22" t="s">
        <v>5591</v>
      </c>
      <c r="B470" s="22" t="s">
        <v>4374</v>
      </c>
      <c r="C470" s="22" t="s">
        <v>4375</v>
      </c>
      <c r="D470" s="23">
        <v>179.32</v>
      </c>
      <c r="E470" s="22"/>
    </row>
    <row r="471" spans="1:5" ht="15" customHeight="1" x14ac:dyDescent="0.35">
      <c r="A471" s="24" t="s">
        <v>5591</v>
      </c>
      <c r="B471" s="24" t="s">
        <v>4378</v>
      </c>
      <c r="C471" s="24" t="s">
        <v>4379</v>
      </c>
      <c r="D471" s="25">
        <v>1326.93</v>
      </c>
      <c r="E471" s="24"/>
    </row>
    <row r="472" spans="1:5" ht="15" customHeight="1" x14ac:dyDescent="0.35">
      <c r="A472" s="22" t="s">
        <v>5591</v>
      </c>
      <c r="B472" s="22" t="s">
        <v>4382</v>
      </c>
      <c r="C472" s="22" t="s">
        <v>4383</v>
      </c>
      <c r="D472" s="23">
        <v>515.51</v>
      </c>
      <c r="E472" s="22"/>
    </row>
    <row r="473" spans="1:5" ht="15" customHeight="1" x14ac:dyDescent="0.35">
      <c r="A473" s="24" t="s">
        <v>5591</v>
      </c>
      <c r="B473" s="24" t="s">
        <v>4386</v>
      </c>
      <c r="C473" s="24" t="s">
        <v>4387</v>
      </c>
      <c r="D473" s="25">
        <v>691.11</v>
      </c>
      <c r="E473" s="24"/>
    </row>
    <row r="474" spans="1:5" ht="15" customHeight="1" x14ac:dyDescent="0.35">
      <c r="A474" s="22" t="s">
        <v>5591</v>
      </c>
      <c r="B474" s="22" t="s">
        <v>4390</v>
      </c>
      <c r="C474" s="22" t="s">
        <v>4391</v>
      </c>
      <c r="D474" s="23">
        <v>143.46</v>
      </c>
      <c r="E474" s="22"/>
    </row>
    <row r="475" spans="1:5" ht="15" customHeight="1" x14ac:dyDescent="0.35">
      <c r="A475" s="24" t="s">
        <v>5591</v>
      </c>
      <c r="B475" s="24" t="s">
        <v>4394</v>
      </c>
      <c r="C475" s="24" t="s">
        <v>4395</v>
      </c>
      <c r="D475" s="25">
        <v>427.57</v>
      </c>
      <c r="E475" s="24"/>
    </row>
    <row r="476" spans="1:5" ht="15" customHeight="1" x14ac:dyDescent="0.35">
      <c r="A476" s="22" t="s">
        <v>5591</v>
      </c>
      <c r="B476" s="22" t="s">
        <v>4398</v>
      </c>
      <c r="C476" s="22" t="s">
        <v>4399</v>
      </c>
      <c r="D476" s="23">
        <v>206.78</v>
      </c>
      <c r="E476" s="22"/>
    </row>
    <row r="477" spans="1:5" ht="15" customHeight="1" x14ac:dyDescent="0.35">
      <c r="A477" s="24" t="s">
        <v>5591</v>
      </c>
      <c r="B477" s="24" t="s">
        <v>4402</v>
      </c>
      <c r="C477" s="24" t="s">
        <v>4403</v>
      </c>
      <c r="D477" s="25">
        <v>74.72</v>
      </c>
      <c r="E477" s="24"/>
    </row>
    <row r="478" spans="1:5" ht="15" customHeight="1" x14ac:dyDescent="0.35">
      <c r="A478" s="22" t="s">
        <v>5591</v>
      </c>
      <c r="B478" s="22" t="s">
        <v>4406</v>
      </c>
      <c r="C478" s="22" t="s">
        <v>4407</v>
      </c>
      <c r="D478" s="23">
        <v>430.44</v>
      </c>
      <c r="E478" s="22"/>
    </row>
    <row r="479" spans="1:5" ht="15" customHeight="1" x14ac:dyDescent="0.35">
      <c r="A479" s="24" t="s">
        <v>5591</v>
      </c>
      <c r="B479" s="24" t="s">
        <v>4410</v>
      </c>
      <c r="C479" s="24" t="s">
        <v>4411</v>
      </c>
      <c r="D479" s="25">
        <v>239.58</v>
      </c>
      <c r="E479" s="24"/>
    </row>
    <row r="480" spans="1:5" ht="15" customHeight="1" x14ac:dyDescent="0.35">
      <c r="A480" s="22" t="s">
        <v>5591</v>
      </c>
      <c r="B480" s="22" t="s">
        <v>4414</v>
      </c>
      <c r="C480" s="22" t="s">
        <v>4415</v>
      </c>
      <c r="D480" s="23">
        <v>1382.22</v>
      </c>
      <c r="E480" s="22"/>
    </row>
    <row r="481" spans="1:5" ht="15" customHeight="1" x14ac:dyDescent="0.35">
      <c r="A481" s="24" t="s">
        <v>5591</v>
      </c>
      <c r="B481" s="24" t="s">
        <v>4418</v>
      </c>
      <c r="C481" s="24" t="s">
        <v>4419</v>
      </c>
      <c r="D481" s="25">
        <v>69.180000000000007</v>
      </c>
      <c r="E481" s="24"/>
    </row>
    <row r="482" spans="1:5" ht="15" customHeight="1" x14ac:dyDescent="0.35">
      <c r="A482" s="22" t="s">
        <v>5591</v>
      </c>
      <c r="B482" s="22" t="s">
        <v>4422</v>
      </c>
      <c r="C482" s="22" t="s">
        <v>4423</v>
      </c>
      <c r="D482" s="23">
        <v>192.62</v>
      </c>
      <c r="E482" s="22"/>
    </row>
    <row r="483" spans="1:5" ht="15" customHeight="1" x14ac:dyDescent="0.35">
      <c r="A483" s="24" t="s">
        <v>5591</v>
      </c>
      <c r="B483" s="24" t="s">
        <v>4426</v>
      </c>
      <c r="C483" s="24" t="s">
        <v>4427</v>
      </c>
      <c r="D483" s="25">
        <v>896.58</v>
      </c>
      <c r="E483" s="24"/>
    </row>
    <row r="484" spans="1:5" ht="15" customHeight="1" x14ac:dyDescent="0.35">
      <c r="A484" s="22" t="s">
        <v>5591</v>
      </c>
      <c r="B484" s="22" t="s">
        <v>4430</v>
      </c>
      <c r="C484" s="22" t="s">
        <v>4431</v>
      </c>
      <c r="D484" s="23">
        <v>448.27</v>
      </c>
      <c r="E484" s="22"/>
    </row>
    <row r="485" spans="1:5" ht="15" customHeight="1" x14ac:dyDescent="0.35">
      <c r="A485" s="24" t="s">
        <v>5591</v>
      </c>
      <c r="B485" s="24" t="s">
        <v>4434</v>
      </c>
      <c r="C485" s="24" t="s">
        <v>4435</v>
      </c>
      <c r="D485" s="25">
        <v>597.72</v>
      </c>
      <c r="E485" s="24"/>
    </row>
    <row r="486" spans="1:5" ht="15" customHeight="1" x14ac:dyDescent="0.35">
      <c r="A486" s="22" t="s">
        <v>5591</v>
      </c>
      <c r="B486" s="22" t="s">
        <v>4438</v>
      </c>
      <c r="C486" s="22" t="s">
        <v>4439</v>
      </c>
      <c r="D486" s="23">
        <v>641.17999999999995</v>
      </c>
      <c r="E486" s="22"/>
    </row>
    <row r="487" spans="1:5" ht="15" customHeight="1" x14ac:dyDescent="0.35">
      <c r="A487" s="24" t="s">
        <v>5591</v>
      </c>
      <c r="B487" s="24" t="s">
        <v>4442</v>
      </c>
      <c r="C487" s="24" t="s">
        <v>4443</v>
      </c>
      <c r="D487" s="25">
        <v>747.15</v>
      </c>
      <c r="E487" s="24"/>
    </row>
    <row r="488" spans="1:5" ht="15" customHeight="1" x14ac:dyDescent="0.35">
      <c r="A488" s="22" t="s">
        <v>5591</v>
      </c>
      <c r="B488" s="22" t="s">
        <v>4446</v>
      </c>
      <c r="C488" s="22" t="s">
        <v>4447</v>
      </c>
      <c r="D488" s="23">
        <v>298.85000000000002</v>
      </c>
      <c r="E488" s="22"/>
    </row>
    <row r="489" spans="1:5" ht="15" customHeight="1" x14ac:dyDescent="0.35">
      <c r="A489" s="24" t="s">
        <v>5591</v>
      </c>
      <c r="B489" s="24" t="s">
        <v>4450</v>
      </c>
      <c r="C489" s="24" t="s">
        <v>4451</v>
      </c>
      <c r="D489" s="25">
        <v>635.76</v>
      </c>
      <c r="E489" s="24"/>
    </row>
    <row r="490" spans="1:5" ht="15" customHeight="1" x14ac:dyDescent="0.35">
      <c r="A490" s="22" t="s">
        <v>5591</v>
      </c>
      <c r="B490" s="22" t="s">
        <v>4454</v>
      </c>
      <c r="C490" s="22" t="s">
        <v>4455</v>
      </c>
      <c r="D490" s="23">
        <v>553.45000000000005</v>
      </c>
      <c r="E490" s="22"/>
    </row>
    <row r="491" spans="1:5" ht="15" customHeight="1" x14ac:dyDescent="0.35">
      <c r="A491" s="24" t="s">
        <v>5591</v>
      </c>
      <c r="B491" s="24" t="s">
        <v>4458</v>
      </c>
      <c r="C491" s="24" t="s">
        <v>4459</v>
      </c>
      <c r="D491" s="25">
        <v>1151.8499999999999</v>
      </c>
      <c r="E491" s="24"/>
    </row>
    <row r="492" spans="1:5" ht="15" customHeight="1" x14ac:dyDescent="0.35">
      <c r="A492" s="22" t="s">
        <v>5591</v>
      </c>
      <c r="B492" s="22" t="s">
        <v>4462</v>
      </c>
      <c r="C492" s="22" t="s">
        <v>4463</v>
      </c>
      <c r="D492" s="23">
        <v>537.63</v>
      </c>
      <c r="E492" s="22"/>
    </row>
    <row r="493" spans="1:5" ht="15" customHeight="1" x14ac:dyDescent="0.35">
      <c r="A493" s="24" t="s">
        <v>5591</v>
      </c>
      <c r="B493" s="24" t="s">
        <v>4466</v>
      </c>
      <c r="C493" s="24" t="s">
        <v>4467</v>
      </c>
      <c r="D493" s="25">
        <v>417.78</v>
      </c>
      <c r="E493" s="24"/>
    </row>
    <row r="494" spans="1:5" ht="15" customHeight="1" x14ac:dyDescent="0.35">
      <c r="A494" s="22" t="s">
        <v>5591</v>
      </c>
      <c r="B494" s="22" t="s">
        <v>4470</v>
      </c>
      <c r="C494" s="22" t="s">
        <v>4471</v>
      </c>
      <c r="D494" s="23">
        <v>13.84</v>
      </c>
      <c r="E494" s="22"/>
    </row>
    <row r="495" spans="1:5" ht="15" customHeight="1" x14ac:dyDescent="0.35">
      <c r="A495" s="24" t="s">
        <v>5591</v>
      </c>
      <c r="B495" s="24" t="s">
        <v>4474</v>
      </c>
      <c r="C495" s="24" t="s">
        <v>4475</v>
      </c>
      <c r="D495" s="25">
        <v>418.4</v>
      </c>
      <c r="E495" s="24"/>
    </row>
    <row r="496" spans="1:5" ht="15" customHeight="1" x14ac:dyDescent="0.35">
      <c r="A496" s="22" t="s">
        <v>5591</v>
      </c>
      <c r="B496" s="22" t="s">
        <v>4478</v>
      </c>
      <c r="C496" s="22" t="s">
        <v>4479</v>
      </c>
      <c r="D496" s="23">
        <v>328.74</v>
      </c>
      <c r="E496" s="22"/>
    </row>
    <row r="497" spans="1:5" ht="15" customHeight="1" x14ac:dyDescent="0.35">
      <c r="A497" s="24" t="s">
        <v>5591</v>
      </c>
      <c r="B497" s="24" t="s">
        <v>4482</v>
      </c>
      <c r="C497" s="24" t="s">
        <v>4483</v>
      </c>
      <c r="D497" s="25">
        <v>3993.82</v>
      </c>
      <c r="E497" s="24"/>
    </row>
    <row r="498" spans="1:5" ht="15" customHeight="1" x14ac:dyDescent="0.35">
      <c r="A498" s="22" t="s">
        <v>5656</v>
      </c>
      <c r="B498" s="22" t="s">
        <v>4486</v>
      </c>
      <c r="C498" s="22" t="s">
        <v>4487</v>
      </c>
      <c r="D498" s="23">
        <v>2276.75</v>
      </c>
      <c r="E498" s="22"/>
    </row>
    <row r="499" spans="1:5" ht="15" customHeight="1" x14ac:dyDescent="0.35">
      <c r="A499" s="24" t="s">
        <v>5656</v>
      </c>
      <c r="B499" s="24" t="s">
        <v>4490</v>
      </c>
      <c r="C499" s="24" t="s">
        <v>4491</v>
      </c>
      <c r="D499" s="25">
        <v>2276.75</v>
      </c>
      <c r="E499" s="24"/>
    </row>
    <row r="500" spans="1:5" ht="15" customHeight="1" x14ac:dyDescent="0.35">
      <c r="A500" s="22" t="s">
        <v>5656</v>
      </c>
      <c r="B500" s="22" t="s">
        <v>4494</v>
      </c>
      <c r="C500" s="22" t="s">
        <v>4495</v>
      </c>
      <c r="D500" s="23">
        <v>2448.6</v>
      </c>
      <c r="E500" s="22"/>
    </row>
    <row r="501" spans="1:5" ht="15" customHeight="1" x14ac:dyDescent="0.35">
      <c r="A501" s="24" t="s">
        <v>5656</v>
      </c>
      <c r="B501" s="24" t="s">
        <v>4498</v>
      </c>
      <c r="C501" s="24" t="s">
        <v>4499</v>
      </c>
      <c r="D501" s="25">
        <v>2404.08</v>
      </c>
      <c r="E501" s="24"/>
    </row>
    <row r="502" spans="1:5" ht="15" customHeight="1" x14ac:dyDescent="0.35">
      <c r="A502" s="22" t="s">
        <v>5656</v>
      </c>
      <c r="B502" s="22" t="s">
        <v>4502</v>
      </c>
      <c r="C502" s="22" t="s">
        <v>4503</v>
      </c>
      <c r="D502" s="23">
        <v>2181.48</v>
      </c>
      <c r="E502" s="22"/>
    </row>
    <row r="503" spans="1:5" ht="15" customHeight="1" x14ac:dyDescent="0.35">
      <c r="A503" s="24" t="s">
        <v>5656</v>
      </c>
      <c r="B503" s="24" t="s">
        <v>4506</v>
      </c>
      <c r="C503" s="24" t="s">
        <v>4507</v>
      </c>
      <c r="D503" s="25">
        <v>2181.48</v>
      </c>
      <c r="E503" s="24"/>
    </row>
    <row r="504" spans="1:5" ht="15" customHeight="1" x14ac:dyDescent="0.35">
      <c r="A504" s="22" t="s">
        <v>5656</v>
      </c>
      <c r="B504" s="22" t="s">
        <v>4510</v>
      </c>
      <c r="C504" s="22" t="s">
        <v>4511</v>
      </c>
      <c r="D504" s="23">
        <v>2181.48</v>
      </c>
      <c r="E504" s="22"/>
    </row>
    <row r="505" spans="1:5" ht="15" customHeight="1" x14ac:dyDescent="0.35">
      <c r="A505" s="24" t="s">
        <v>5656</v>
      </c>
      <c r="B505" s="24" t="s">
        <v>4514</v>
      </c>
      <c r="C505" s="24" t="s">
        <v>4515</v>
      </c>
      <c r="D505" s="25">
        <v>2181.48</v>
      </c>
      <c r="E505" s="24"/>
    </row>
    <row r="506" spans="1:5" ht="15" customHeight="1" x14ac:dyDescent="0.35">
      <c r="A506" s="22" t="s">
        <v>5656</v>
      </c>
      <c r="B506" s="22" t="s">
        <v>4518</v>
      </c>
      <c r="C506" s="22" t="s">
        <v>4519</v>
      </c>
      <c r="D506" s="23">
        <v>2181.48</v>
      </c>
      <c r="E506" s="22"/>
    </row>
    <row r="507" spans="1:5" ht="15" customHeight="1" x14ac:dyDescent="0.35">
      <c r="A507" s="24" t="s">
        <v>5656</v>
      </c>
      <c r="B507" s="24" t="s">
        <v>4522</v>
      </c>
      <c r="C507" s="24" t="s">
        <v>4523</v>
      </c>
      <c r="D507" s="25">
        <v>2181.48</v>
      </c>
      <c r="E507" s="24"/>
    </row>
    <row r="508" spans="1:5" ht="15" customHeight="1" x14ac:dyDescent="0.35">
      <c r="A508" s="22" t="s">
        <v>5656</v>
      </c>
      <c r="B508" s="22" t="s">
        <v>4526</v>
      </c>
      <c r="C508" s="22" t="s">
        <v>4527</v>
      </c>
      <c r="D508" s="23">
        <v>278.25</v>
      </c>
      <c r="E508" s="22"/>
    </row>
    <row r="509" spans="1:5" ht="15" customHeight="1" x14ac:dyDescent="0.35">
      <c r="A509" s="24" t="s">
        <v>5657</v>
      </c>
      <c r="B509" s="24" t="s">
        <v>4530</v>
      </c>
      <c r="C509" s="24" t="s">
        <v>4531</v>
      </c>
      <c r="D509" s="25">
        <v>210.4</v>
      </c>
      <c r="E509" s="24"/>
    </row>
    <row r="510" spans="1:5" ht="15" customHeight="1" x14ac:dyDescent="0.35">
      <c r="A510" s="22" t="s">
        <v>5657</v>
      </c>
      <c r="B510" s="22" t="s">
        <v>4534</v>
      </c>
      <c r="C510" s="22" t="s">
        <v>4535</v>
      </c>
      <c r="D510" s="23">
        <v>526</v>
      </c>
      <c r="E510" s="22"/>
    </row>
    <row r="511" spans="1:5" ht="15" customHeight="1" x14ac:dyDescent="0.35">
      <c r="A511" s="24" t="s">
        <v>5657</v>
      </c>
      <c r="B511" s="24" t="s">
        <v>4538</v>
      </c>
      <c r="C511" s="24" t="s">
        <v>4539</v>
      </c>
      <c r="D511" s="25">
        <v>304.77999999999997</v>
      </c>
      <c r="E511" s="24"/>
    </row>
    <row r="512" spans="1:5" ht="15" customHeight="1" x14ac:dyDescent="0.35">
      <c r="A512" s="22" t="s">
        <v>5657</v>
      </c>
      <c r="B512" s="22" t="s">
        <v>4542</v>
      </c>
      <c r="C512" s="22" t="s">
        <v>4543</v>
      </c>
      <c r="D512" s="23">
        <v>761.95</v>
      </c>
      <c r="E512" s="22"/>
    </row>
    <row r="513" spans="1:5" ht="15" customHeight="1" x14ac:dyDescent="0.35">
      <c r="A513" s="24" t="s">
        <v>5657</v>
      </c>
      <c r="B513" s="24" t="s">
        <v>4546</v>
      </c>
      <c r="C513" s="24" t="s">
        <v>4547</v>
      </c>
      <c r="D513" s="25">
        <v>842.1</v>
      </c>
      <c r="E513" s="24"/>
    </row>
    <row r="514" spans="1:5" ht="23.25" customHeight="1" x14ac:dyDescent="0.35">
      <c r="A514" s="22" t="s">
        <v>5657</v>
      </c>
      <c r="B514" s="22" t="s">
        <v>4550</v>
      </c>
      <c r="C514" s="22" t="s">
        <v>4551</v>
      </c>
      <c r="D514" s="23">
        <v>908.6</v>
      </c>
      <c r="E514" s="22"/>
    </row>
    <row r="515" spans="1:5" ht="23.25" customHeight="1" x14ac:dyDescent="0.35">
      <c r="A515" s="24" t="s">
        <v>5657</v>
      </c>
      <c r="B515" s="24" t="s">
        <v>4554</v>
      </c>
      <c r="C515" s="24" t="s">
        <v>4555</v>
      </c>
      <c r="D515" s="25">
        <v>842.1</v>
      </c>
      <c r="E515" s="24"/>
    </row>
    <row r="516" spans="1:5" ht="15" customHeight="1" x14ac:dyDescent="0.35">
      <c r="A516" s="22" t="s">
        <v>5657</v>
      </c>
      <c r="B516" s="22" t="s">
        <v>4558</v>
      </c>
      <c r="C516" s="22" t="s">
        <v>4559</v>
      </c>
      <c r="D516" s="23">
        <v>172</v>
      </c>
      <c r="E516" s="22"/>
    </row>
    <row r="517" spans="1:5" ht="15" customHeight="1" x14ac:dyDescent="0.35">
      <c r="A517" s="24" t="s">
        <v>5657</v>
      </c>
      <c r="B517" s="24" t="s">
        <v>4562</v>
      </c>
      <c r="C517" s="24" t="s">
        <v>4563</v>
      </c>
      <c r="D517" s="25">
        <v>430</v>
      </c>
      <c r="E517" s="24"/>
    </row>
    <row r="518" spans="1:5" ht="15" customHeight="1" x14ac:dyDescent="0.35">
      <c r="A518" s="22" t="s">
        <v>5657</v>
      </c>
      <c r="B518" s="22" t="s">
        <v>4566</v>
      </c>
      <c r="C518" s="22" t="s">
        <v>4567</v>
      </c>
      <c r="D518" s="23">
        <v>170.2</v>
      </c>
      <c r="E518" s="22"/>
    </row>
    <row r="519" spans="1:5" ht="15" customHeight="1" x14ac:dyDescent="0.35">
      <c r="A519" s="24" t="s">
        <v>5657</v>
      </c>
      <c r="B519" s="24" t="s">
        <v>4570</v>
      </c>
      <c r="C519" s="24" t="s">
        <v>4571</v>
      </c>
      <c r="D519" s="25">
        <v>425.5</v>
      </c>
      <c r="E519" s="24"/>
    </row>
    <row r="520" spans="1:5" ht="15" customHeight="1" x14ac:dyDescent="0.35">
      <c r="A520" s="22" t="s">
        <v>5657</v>
      </c>
      <c r="B520" s="22" t="s">
        <v>4574</v>
      </c>
      <c r="C520" s="22" t="s">
        <v>4575</v>
      </c>
      <c r="D520" s="23">
        <v>187.4</v>
      </c>
      <c r="E520" s="22"/>
    </row>
    <row r="521" spans="1:5" ht="15" customHeight="1" x14ac:dyDescent="0.35">
      <c r="A521" s="24" t="s">
        <v>5657</v>
      </c>
      <c r="B521" s="24" t="s">
        <v>4578</v>
      </c>
      <c r="C521" s="24" t="s">
        <v>4579</v>
      </c>
      <c r="D521" s="25">
        <v>468.5</v>
      </c>
      <c r="E521" s="24"/>
    </row>
    <row r="522" spans="1:5" ht="15" customHeight="1" x14ac:dyDescent="0.35">
      <c r="A522" s="22" t="s">
        <v>5657</v>
      </c>
      <c r="B522" s="22" t="s">
        <v>4582</v>
      </c>
      <c r="C522" s="22" t="s">
        <v>4583</v>
      </c>
      <c r="D522" s="23">
        <v>204.6</v>
      </c>
      <c r="E522" s="22"/>
    </row>
    <row r="523" spans="1:5" ht="15" customHeight="1" x14ac:dyDescent="0.35">
      <c r="A523" s="24" t="s">
        <v>5657</v>
      </c>
      <c r="B523" s="24" t="s">
        <v>4586</v>
      </c>
      <c r="C523" s="24" t="s">
        <v>4587</v>
      </c>
      <c r="D523" s="25">
        <v>511.5</v>
      </c>
      <c r="E523" s="24"/>
    </row>
    <row r="524" spans="1:5" ht="15" customHeight="1" x14ac:dyDescent="0.35">
      <c r="A524" s="22" t="s">
        <v>5658</v>
      </c>
      <c r="B524" s="22" t="s">
        <v>4590</v>
      </c>
      <c r="C524" s="22" t="s">
        <v>4591</v>
      </c>
      <c r="D524" s="23">
        <v>6.28</v>
      </c>
      <c r="E524" s="22"/>
    </row>
    <row r="525" spans="1:5" ht="15" customHeight="1" x14ac:dyDescent="0.35">
      <c r="A525" s="24" t="s">
        <v>5658</v>
      </c>
      <c r="B525" s="24" t="s">
        <v>4594</v>
      </c>
      <c r="C525" s="24" t="s">
        <v>4595</v>
      </c>
      <c r="D525" s="25">
        <v>3.63</v>
      </c>
      <c r="E525" s="24"/>
    </row>
    <row r="526" spans="1:5" ht="15" customHeight="1" x14ac:dyDescent="0.35">
      <c r="A526" s="22" t="s">
        <v>5658</v>
      </c>
      <c r="B526" s="22" t="s">
        <v>4598</v>
      </c>
      <c r="C526" s="22" t="s">
        <v>4599</v>
      </c>
      <c r="D526" s="23">
        <v>3.49</v>
      </c>
      <c r="E526" s="22"/>
    </row>
    <row r="527" spans="1:5" ht="15" customHeight="1" x14ac:dyDescent="0.35">
      <c r="A527" s="24" t="s">
        <v>5658</v>
      </c>
      <c r="B527" s="24" t="s">
        <v>4602</v>
      </c>
      <c r="C527" s="24" t="s">
        <v>4603</v>
      </c>
      <c r="D527" s="25">
        <v>13.98</v>
      </c>
      <c r="E527" s="24"/>
    </row>
    <row r="528" spans="1:5" ht="15" customHeight="1" x14ac:dyDescent="0.35">
      <c r="A528" s="22" t="s">
        <v>5658</v>
      </c>
      <c r="B528" s="22" t="s">
        <v>4606</v>
      </c>
      <c r="C528" s="22" t="s">
        <v>4607</v>
      </c>
      <c r="D528" s="23">
        <v>10.83</v>
      </c>
      <c r="E528" s="22"/>
    </row>
    <row r="529" spans="1:5" ht="15" customHeight="1" x14ac:dyDescent="0.35">
      <c r="A529" s="24" t="s">
        <v>5658</v>
      </c>
      <c r="B529" s="24" t="s">
        <v>4610</v>
      </c>
      <c r="C529" s="24" t="s">
        <v>4611</v>
      </c>
      <c r="D529" s="25">
        <v>3.49</v>
      </c>
      <c r="E529" s="24"/>
    </row>
    <row r="530" spans="1:5" ht="15" customHeight="1" x14ac:dyDescent="0.35">
      <c r="A530" s="22" t="s">
        <v>5658</v>
      </c>
      <c r="B530" s="22" t="s">
        <v>4614</v>
      </c>
      <c r="C530" s="22" t="s">
        <v>4615</v>
      </c>
      <c r="D530" s="23">
        <v>3.49</v>
      </c>
      <c r="E530" s="22"/>
    </row>
    <row r="531" spans="1:5" ht="15" customHeight="1" x14ac:dyDescent="0.35">
      <c r="A531" s="24" t="s">
        <v>5658</v>
      </c>
      <c r="B531" s="24" t="s">
        <v>4618</v>
      </c>
      <c r="C531" s="24" t="s">
        <v>4619</v>
      </c>
      <c r="D531" s="25">
        <v>12.25</v>
      </c>
      <c r="E531" s="24"/>
    </row>
    <row r="532" spans="1:5" ht="15" customHeight="1" x14ac:dyDescent="0.35">
      <c r="A532" s="22" t="s">
        <v>5658</v>
      </c>
      <c r="B532" s="22" t="s">
        <v>4622</v>
      </c>
      <c r="C532" s="22" t="s">
        <v>4623</v>
      </c>
      <c r="D532" s="23">
        <v>8.3000000000000007</v>
      </c>
      <c r="E532" s="22"/>
    </row>
    <row r="533" spans="1:5" ht="15" customHeight="1" x14ac:dyDescent="0.35">
      <c r="A533" s="24" t="s">
        <v>5658</v>
      </c>
      <c r="B533" s="24" t="s">
        <v>4626</v>
      </c>
      <c r="C533" s="24" t="s">
        <v>4627</v>
      </c>
      <c r="D533" s="25">
        <v>59.9</v>
      </c>
      <c r="E533" s="24"/>
    </row>
    <row r="534" spans="1:5" ht="15" customHeight="1" x14ac:dyDescent="0.35">
      <c r="A534" s="22" t="s">
        <v>5658</v>
      </c>
      <c r="B534" s="22" t="s">
        <v>4630</v>
      </c>
      <c r="C534" s="22" t="s">
        <v>4631</v>
      </c>
      <c r="D534" s="23">
        <v>2.2400000000000002</v>
      </c>
      <c r="E534" s="22"/>
    </row>
    <row r="535" spans="1:5" ht="15" customHeight="1" x14ac:dyDescent="0.35">
      <c r="A535" s="24" t="s">
        <v>5658</v>
      </c>
      <c r="B535" s="24" t="s">
        <v>4634</v>
      </c>
      <c r="C535" s="24" t="s">
        <v>4635</v>
      </c>
      <c r="D535" s="25">
        <v>2.2999999999999998</v>
      </c>
      <c r="E535" s="24"/>
    </row>
    <row r="536" spans="1:5" ht="15" customHeight="1" x14ac:dyDescent="0.35">
      <c r="A536" s="22" t="s">
        <v>5658</v>
      </c>
      <c r="B536" s="22" t="s">
        <v>4638</v>
      </c>
      <c r="C536" s="22" t="s">
        <v>4639</v>
      </c>
      <c r="D536" s="23">
        <v>13.98</v>
      </c>
      <c r="E536" s="22"/>
    </row>
    <row r="537" spans="1:5" ht="15" customHeight="1" x14ac:dyDescent="0.35">
      <c r="A537" s="24" t="s">
        <v>5658</v>
      </c>
      <c r="B537" s="24" t="s">
        <v>4642</v>
      </c>
      <c r="C537" s="24" t="s">
        <v>4643</v>
      </c>
      <c r="D537" s="25">
        <v>8.3000000000000007</v>
      </c>
      <c r="E537" s="24"/>
    </row>
    <row r="538" spans="1:5" ht="15" customHeight="1" x14ac:dyDescent="0.35">
      <c r="A538" s="22" t="s">
        <v>5658</v>
      </c>
      <c r="B538" s="22" t="s">
        <v>4646</v>
      </c>
      <c r="C538" s="22" t="s">
        <v>4647</v>
      </c>
      <c r="D538" s="23">
        <v>1796.89</v>
      </c>
      <c r="E538" s="22"/>
    </row>
    <row r="539" spans="1:5" ht="15" customHeight="1" x14ac:dyDescent="0.35">
      <c r="A539" s="24" t="s">
        <v>5658</v>
      </c>
      <c r="B539" s="24" t="s">
        <v>4650</v>
      </c>
      <c r="C539" s="24" t="s">
        <v>4651</v>
      </c>
      <c r="D539" s="25">
        <v>2810.51</v>
      </c>
      <c r="E539" s="24"/>
    </row>
    <row r="540" spans="1:5" ht="15" customHeight="1" x14ac:dyDescent="0.35">
      <c r="A540" s="22" t="s">
        <v>5658</v>
      </c>
      <c r="B540" s="22" t="s">
        <v>4654</v>
      </c>
      <c r="C540" s="22" t="s">
        <v>4655</v>
      </c>
      <c r="D540" s="23">
        <v>312.38</v>
      </c>
      <c r="E540" s="22"/>
    </row>
    <row r="541" spans="1:5" ht="15" customHeight="1" x14ac:dyDescent="0.35">
      <c r="A541" s="24" t="s">
        <v>5658</v>
      </c>
      <c r="B541" s="24" t="s">
        <v>4658</v>
      </c>
      <c r="C541" s="24" t="s">
        <v>4659</v>
      </c>
      <c r="D541" s="25">
        <v>76.48</v>
      </c>
      <c r="E541" s="24"/>
    </row>
    <row r="542" spans="1:5" ht="15" customHeight="1" x14ac:dyDescent="0.35">
      <c r="A542" s="22" t="s">
        <v>5658</v>
      </c>
      <c r="B542" s="22" t="s">
        <v>4662</v>
      </c>
      <c r="C542" s="22" t="s">
        <v>4663</v>
      </c>
      <c r="D542" s="23">
        <v>272.75</v>
      </c>
      <c r="E542" s="22"/>
    </row>
    <row r="543" spans="1:5" ht="15" customHeight="1" x14ac:dyDescent="0.35">
      <c r="A543" s="24" t="s">
        <v>5658</v>
      </c>
      <c r="B543" s="24" t="s">
        <v>4666</v>
      </c>
      <c r="C543" s="24" t="s">
        <v>4667</v>
      </c>
      <c r="D543" s="25">
        <v>243.74</v>
      </c>
      <c r="E543" s="24"/>
    </row>
    <row r="544" spans="1:5" ht="15" customHeight="1" x14ac:dyDescent="0.35">
      <c r="A544" s="22" t="s">
        <v>5658</v>
      </c>
      <c r="B544" s="22" t="s">
        <v>4670</v>
      </c>
      <c r="C544" s="22" t="s">
        <v>4671</v>
      </c>
      <c r="D544" s="23">
        <v>56.21</v>
      </c>
      <c r="E544" s="22"/>
    </row>
    <row r="545" spans="1:5" ht="15" customHeight="1" x14ac:dyDescent="0.35">
      <c r="A545" s="24" t="s">
        <v>5658</v>
      </c>
      <c r="B545" s="24" t="s">
        <v>4674</v>
      </c>
      <c r="C545" s="24" t="s">
        <v>4675</v>
      </c>
      <c r="D545" s="25">
        <v>8955.94</v>
      </c>
      <c r="E545" s="24"/>
    </row>
    <row r="546" spans="1:5" ht="15" customHeight="1" x14ac:dyDescent="0.35">
      <c r="A546" s="22" t="s">
        <v>5658</v>
      </c>
      <c r="B546" s="22" t="s">
        <v>4678</v>
      </c>
      <c r="C546" s="22" t="s">
        <v>4679</v>
      </c>
      <c r="D546" s="23">
        <v>10001.68</v>
      </c>
      <c r="E546" s="22"/>
    </row>
    <row r="547" spans="1:5" ht="15" customHeight="1" x14ac:dyDescent="0.35">
      <c r="A547" s="24" t="s">
        <v>5658</v>
      </c>
      <c r="B547" s="24" t="s">
        <v>687</v>
      </c>
      <c r="C547" s="24" t="s">
        <v>4682</v>
      </c>
      <c r="D547" s="25">
        <v>5064.13</v>
      </c>
      <c r="E547" s="24"/>
    </row>
    <row r="548" spans="1:5" ht="15" customHeight="1" x14ac:dyDescent="0.35">
      <c r="A548" s="22" t="s">
        <v>5658</v>
      </c>
      <c r="B548" s="22" t="s">
        <v>4685</v>
      </c>
      <c r="C548" s="22" t="s">
        <v>4686</v>
      </c>
      <c r="D548" s="23">
        <v>6175.13</v>
      </c>
      <c r="E548" s="22"/>
    </row>
    <row r="549" spans="1:5" ht="15" customHeight="1" x14ac:dyDescent="0.35">
      <c r="A549" s="24" t="s">
        <v>5658</v>
      </c>
      <c r="B549" s="24" t="s">
        <v>695</v>
      </c>
      <c r="C549" s="24" t="s">
        <v>4689</v>
      </c>
      <c r="D549" s="25">
        <v>6956.82</v>
      </c>
      <c r="E549" s="24"/>
    </row>
    <row r="550" spans="1:5" ht="15" customHeight="1" x14ac:dyDescent="0.35">
      <c r="A550" s="22" t="s">
        <v>5658</v>
      </c>
      <c r="B550" s="22" t="s">
        <v>707</v>
      </c>
      <c r="C550" s="22" t="s">
        <v>4692</v>
      </c>
      <c r="D550" s="23">
        <v>10764.42</v>
      </c>
      <c r="E550" s="22"/>
    </row>
    <row r="551" spans="1:5" ht="15" customHeight="1" x14ac:dyDescent="0.35">
      <c r="A551" s="24" t="s">
        <v>5658</v>
      </c>
      <c r="B551" s="24" t="s">
        <v>711</v>
      </c>
      <c r="C551" s="24" t="s">
        <v>4695</v>
      </c>
      <c r="D551" s="25">
        <v>11647.7</v>
      </c>
      <c r="E551" s="24"/>
    </row>
    <row r="552" spans="1:5" ht="15" customHeight="1" x14ac:dyDescent="0.35">
      <c r="A552" s="22" t="s">
        <v>5658</v>
      </c>
      <c r="B552" s="22" t="s">
        <v>699</v>
      </c>
      <c r="C552" s="22" t="s">
        <v>4698</v>
      </c>
      <c r="D552" s="23">
        <v>8398.2999999999993</v>
      </c>
      <c r="E552" s="22"/>
    </row>
    <row r="553" spans="1:5" ht="15" customHeight="1" x14ac:dyDescent="0.35">
      <c r="A553" s="24" t="s">
        <v>5658</v>
      </c>
      <c r="B553" s="24" t="s">
        <v>703</v>
      </c>
      <c r="C553" s="24" t="s">
        <v>4701</v>
      </c>
      <c r="D553" s="25">
        <v>8713.3799999999992</v>
      </c>
      <c r="E553" s="24"/>
    </row>
    <row r="554" spans="1:5" ht="15" customHeight="1" x14ac:dyDescent="0.35">
      <c r="A554" s="22" t="s">
        <v>5658</v>
      </c>
      <c r="B554" s="22" t="s">
        <v>4704</v>
      </c>
      <c r="C554" s="22" t="s">
        <v>4705</v>
      </c>
      <c r="D554" s="23">
        <v>1509.38</v>
      </c>
      <c r="E554" s="22"/>
    </row>
    <row r="555" spans="1:5" ht="15" customHeight="1" x14ac:dyDescent="0.35">
      <c r="A555" s="24" t="s">
        <v>5658</v>
      </c>
      <c r="B555" s="24" t="s">
        <v>723</v>
      </c>
      <c r="C555" s="24" t="s">
        <v>4708</v>
      </c>
      <c r="D555" s="25">
        <v>1382.22</v>
      </c>
      <c r="E555" s="24"/>
    </row>
    <row r="556" spans="1:5" ht="15" customHeight="1" x14ac:dyDescent="0.35">
      <c r="A556" s="22" t="s">
        <v>5658</v>
      </c>
      <c r="B556" s="22" t="s">
        <v>4711</v>
      </c>
      <c r="C556" s="22" t="s">
        <v>4712</v>
      </c>
      <c r="D556" s="23">
        <v>2080.7600000000002</v>
      </c>
      <c r="E556" s="22"/>
    </row>
    <row r="557" spans="1:5" ht="15" customHeight="1" x14ac:dyDescent="0.35">
      <c r="A557" s="24" t="s">
        <v>5658</v>
      </c>
      <c r="B557" s="24" t="s">
        <v>4715</v>
      </c>
      <c r="C557" s="24" t="s">
        <v>4716</v>
      </c>
      <c r="D557" s="25">
        <v>2316.06</v>
      </c>
      <c r="E557" s="24"/>
    </row>
    <row r="558" spans="1:5" ht="15" customHeight="1" x14ac:dyDescent="0.35">
      <c r="A558" s="22" t="s">
        <v>5658</v>
      </c>
      <c r="B558" s="22" t="s">
        <v>739</v>
      </c>
      <c r="C558" s="22" t="s">
        <v>4719</v>
      </c>
      <c r="D558" s="23">
        <v>600.14</v>
      </c>
      <c r="E558" s="22"/>
    </row>
    <row r="559" spans="1:5" ht="15" customHeight="1" x14ac:dyDescent="0.35">
      <c r="A559" s="24" t="s">
        <v>5658</v>
      </c>
      <c r="B559" s="24" t="s">
        <v>743</v>
      </c>
      <c r="C559" s="24" t="s">
        <v>4722</v>
      </c>
      <c r="D559" s="25">
        <v>395.91</v>
      </c>
      <c r="E559" s="24"/>
    </row>
    <row r="560" spans="1:5" ht="15" customHeight="1" x14ac:dyDescent="0.35">
      <c r="A560" s="22" t="s">
        <v>5658</v>
      </c>
      <c r="B560" s="22" t="s">
        <v>679</v>
      </c>
      <c r="C560" s="22" t="s">
        <v>4725</v>
      </c>
      <c r="D560" s="23">
        <v>2621.3000000000002</v>
      </c>
      <c r="E560" s="22"/>
    </row>
    <row r="561" spans="1:5" ht="15" customHeight="1" x14ac:dyDescent="0.35">
      <c r="A561" s="24" t="s">
        <v>5658</v>
      </c>
      <c r="B561" s="24" t="s">
        <v>683</v>
      </c>
      <c r="C561" s="24" t="s">
        <v>4728</v>
      </c>
      <c r="D561" s="25">
        <v>3312.06</v>
      </c>
      <c r="E561" s="24"/>
    </row>
    <row r="562" spans="1:5" ht="15" customHeight="1" x14ac:dyDescent="0.35">
      <c r="A562" s="22" t="s">
        <v>5658</v>
      </c>
      <c r="B562" s="22" t="s">
        <v>715</v>
      </c>
      <c r="C562" s="22" t="s">
        <v>4731</v>
      </c>
      <c r="D562" s="23">
        <v>7326.31</v>
      </c>
      <c r="E562" s="22"/>
    </row>
    <row r="563" spans="1:5" ht="15" customHeight="1" x14ac:dyDescent="0.35">
      <c r="A563" s="24" t="s">
        <v>5658</v>
      </c>
      <c r="B563" s="24" t="s">
        <v>719</v>
      </c>
      <c r="C563" s="24" t="s">
        <v>4734</v>
      </c>
      <c r="D563" s="25">
        <v>7990.37</v>
      </c>
      <c r="E563" s="24"/>
    </row>
    <row r="564" spans="1:5" ht="15" customHeight="1" x14ac:dyDescent="0.35">
      <c r="A564" s="22" t="s">
        <v>5658</v>
      </c>
      <c r="B564" s="22" t="s">
        <v>4737</v>
      </c>
      <c r="C564" s="22" t="s">
        <v>4738</v>
      </c>
      <c r="D564" s="23">
        <v>221.88</v>
      </c>
      <c r="E564" s="22"/>
    </row>
    <row r="565" spans="1:5" ht="15" customHeight="1" x14ac:dyDescent="0.35">
      <c r="A565" s="24" t="s">
        <v>5658</v>
      </c>
      <c r="B565" s="24" t="s">
        <v>4741</v>
      </c>
      <c r="C565" s="24" t="s">
        <v>4742</v>
      </c>
      <c r="D565" s="25">
        <v>1626.76</v>
      </c>
      <c r="E565" s="24"/>
    </row>
    <row r="566" spans="1:5" ht="15" customHeight="1" x14ac:dyDescent="0.35">
      <c r="A566" s="22" t="s">
        <v>5658</v>
      </c>
      <c r="B566" s="22" t="s">
        <v>4745</v>
      </c>
      <c r="C566" s="22" t="s">
        <v>4746</v>
      </c>
      <c r="D566" s="23">
        <v>1861.43</v>
      </c>
      <c r="E566" s="22"/>
    </row>
    <row r="567" spans="1:5" ht="15" customHeight="1" x14ac:dyDescent="0.35">
      <c r="A567" s="24" t="s">
        <v>5658</v>
      </c>
      <c r="B567" s="24" t="s">
        <v>4749</v>
      </c>
      <c r="C567" s="24" t="s">
        <v>4750</v>
      </c>
      <c r="D567" s="25">
        <v>944.06</v>
      </c>
      <c r="E567" s="24"/>
    </row>
    <row r="568" spans="1:5" ht="15" customHeight="1" x14ac:dyDescent="0.35">
      <c r="A568" s="22" t="s">
        <v>5658</v>
      </c>
      <c r="B568" s="22" t="s">
        <v>4753</v>
      </c>
      <c r="C568" s="22" t="s">
        <v>4754</v>
      </c>
      <c r="D568" s="23">
        <v>1808.11</v>
      </c>
      <c r="E568" s="22"/>
    </row>
    <row r="569" spans="1:5" ht="15" customHeight="1" x14ac:dyDescent="0.35">
      <c r="A569" s="24" t="s">
        <v>5658</v>
      </c>
      <c r="B569" s="24" t="s">
        <v>4757</v>
      </c>
      <c r="C569" s="24" t="s">
        <v>4758</v>
      </c>
      <c r="D569" s="25">
        <v>1333.41</v>
      </c>
      <c r="E569" s="24"/>
    </row>
    <row r="570" spans="1:5" ht="15" customHeight="1" x14ac:dyDescent="0.35">
      <c r="A570" s="22" t="s">
        <v>5658</v>
      </c>
      <c r="B570" s="22" t="s">
        <v>4761</v>
      </c>
      <c r="C570" s="22" t="s">
        <v>4762</v>
      </c>
      <c r="D570" s="23">
        <v>1626.76</v>
      </c>
      <c r="E570" s="22"/>
    </row>
    <row r="571" spans="1:5" ht="15" customHeight="1" x14ac:dyDescent="0.35">
      <c r="A571" s="24" t="s">
        <v>5658</v>
      </c>
      <c r="B571" s="24" t="s">
        <v>4765</v>
      </c>
      <c r="C571" s="24" t="s">
        <v>4766</v>
      </c>
      <c r="D571" s="25">
        <v>1626.76</v>
      </c>
      <c r="E571" s="24"/>
    </row>
    <row r="572" spans="1:5" ht="15" customHeight="1" x14ac:dyDescent="0.35">
      <c r="A572" s="22" t="s">
        <v>5658</v>
      </c>
      <c r="B572" s="22" t="s">
        <v>4769</v>
      </c>
      <c r="C572" s="22" t="s">
        <v>4770</v>
      </c>
      <c r="D572" s="23">
        <v>2088.66</v>
      </c>
      <c r="E572" s="22"/>
    </row>
    <row r="573" spans="1:5" ht="15" customHeight="1" x14ac:dyDescent="0.35">
      <c r="A573" s="24" t="s">
        <v>5658</v>
      </c>
      <c r="B573" s="24" t="s">
        <v>4773</v>
      </c>
      <c r="C573" s="24" t="s">
        <v>4774</v>
      </c>
      <c r="D573" s="25">
        <v>1333.41</v>
      </c>
      <c r="E573" s="24"/>
    </row>
    <row r="574" spans="1:5" ht="15" customHeight="1" x14ac:dyDescent="0.35">
      <c r="A574" s="22" t="s">
        <v>5658</v>
      </c>
      <c r="B574" s="22" t="s">
        <v>4777</v>
      </c>
      <c r="C574" s="22" t="s">
        <v>4778</v>
      </c>
      <c r="D574" s="23">
        <v>1861.43</v>
      </c>
      <c r="E574" s="22"/>
    </row>
    <row r="575" spans="1:5" ht="15" customHeight="1" x14ac:dyDescent="0.35">
      <c r="A575" s="24" t="s">
        <v>5658</v>
      </c>
      <c r="B575" s="24" t="s">
        <v>4781</v>
      </c>
      <c r="C575" s="24" t="s">
        <v>4782</v>
      </c>
      <c r="D575" s="25">
        <v>26.62</v>
      </c>
      <c r="E575" s="24"/>
    </row>
    <row r="576" spans="1:5" ht="15" customHeight="1" x14ac:dyDescent="0.35">
      <c r="A576" s="22" t="s">
        <v>5658</v>
      </c>
      <c r="B576" s="22" t="s">
        <v>4785</v>
      </c>
      <c r="C576" s="22" t="s">
        <v>4786</v>
      </c>
      <c r="D576" s="23">
        <v>1248.44</v>
      </c>
      <c r="E576" s="22"/>
    </row>
    <row r="577" spans="1:5" ht="15" customHeight="1" x14ac:dyDescent="0.35">
      <c r="A577" s="24" t="s">
        <v>5658</v>
      </c>
      <c r="B577" s="24" t="s">
        <v>4789</v>
      </c>
      <c r="C577" s="24" t="s">
        <v>4790</v>
      </c>
      <c r="D577" s="25">
        <v>1200.06</v>
      </c>
      <c r="E577" s="24"/>
    </row>
    <row r="578" spans="1:5" ht="15" customHeight="1" x14ac:dyDescent="0.35">
      <c r="A578" s="22" t="s">
        <v>5658</v>
      </c>
      <c r="B578" s="22" t="s">
        <v>4793</v>
      </c>
      <c r="C578" s="22" t="s">
        <v>4794</v>
      </c>
      <c r="D578" s="23">
        <v>1074.1400000000001</v>
      </c>
      <c r="E578" s="22"/>
    </row>
    <row r="579" spans="1:5" ht="15" customHeight="1" x14ac:dyDescent="0.35">
      <c r="A579" s="24" t="s">
        <v>5658</v>
      </c>
      <c r="B579" s="24" t="s">
        <v>4797</v>
      </c>
      <c r="C579" s="24" t="s">
        <v>4798</v>
      </c>
      <c r="D579" s="25">
        <v>1214.46</v>
      </c>
      <c r="E579" s="24"/>
    </row>
    <row r="580" spans="1:5" ht="15" customHeight="1" x14ac:dyDescent="0.35">
      <c r="A580" s="22" t="s">
        <v>5658</v>
      </c>
      <c r="B580" s="22" t="s">
        <v>727</v>
      </c>
      <c r="C580" s="22" t="s">
        <v>4801</v>
      </c>
      <c r="D580" s="23">
        <v>110.77</v>
      </c>
      <c r="E580" s="22"/>
    </row>
    <row r="581" spans="1:5" ht="15" customHeight="1" x14ac:dyDescent="0.35">
      <c r="A581" s="24" t="s">
        <v>5658</v>
      </c>
      <c r="B581" s="24" t="s">
        <v>4804</v>
      </c>
      <c r="C581" s="24" t="s">
        <v>4805</v>
      </c>
      <c r="D581" s="25">
        <v>525.24</v>
      </c>
      <c r="E581" s="24"/>
    </row>
    <row r="582" spans="1:5" ht="15" customHeight="1" x14ac:dyDescent="0.35">
      <c r="A582" s="22" t="s">
        <v>5658</v>
      </c>
      <c r="B582" s="22" t="s">
        <v>4808</v>
      </c>
      <c r="C582" s="22" t="s">
        <v>4809</v>
      </c>
      <c r="D582" s="23">
        <v>809.08</v>
      </c>
      <c r="E582" s="22"/>
    </row>
    <row r="583" spans="1:5" ht="15" customHeight="1" x14ac:dyDescent="0.35">
      <c r="A583" s="24" t="s">
        <v>5658</v>
      </c>
      <c r="B583" s="24" t="s">
        <v>4812</v>
      </c>
      <c r="C583" s="24" t="s">
        <v>4813</v>
      </c>
      <c r="D583" s="25">
        <v>1659.35</v>
      </c>
      <c r="E583" s="24"/>
    </row>
    <row r="584" spans="1:5" ht="15" customHeight="1" x14ac:dyDescent="0.35">
      <c r="A584" s="22" t="s">
        <v>5658</v>
      </c>
      <c r="B584" s="22" t="s">
        <v>4816</v>
      </c>
      <c r="C584" s="22" t="s">
        <v>4817</v>
      </c>
      <c r="D584" s="23">
        <v>1862.54</v>
      </c>
      <c r="E584" s="22"/>
    </row>
    <row r="585" spans="1:5" ht="15" customHeight="1" x14ac:dyDescent="0.35">
      <c r="A585" s="24" t="s">
        <v>5658</v>
      </c>
      <c r="B585" s="24" t="s">
        <v>4820</v>
      </c>
      <c r="C585" s="24" t="s">
        <v>4821</v>
      </c>
      <c r="D585" s="25">
        <v>538.70000000000005</v>
      </c>
      <c r="E585" s="24"/>
    </row>
    <row r="586" spans="1:5" ht="15" customHeight="1" x14ac:dyDescent="0.35">
      <c r="A586" s="22" t="s">
        <v>5658</v>
      </c>
      <c r="B586" s="22" t="s">
        <v>4824</v>
      </c>
      <c r="C586" s="22" t="s">
        <v>4825</v>
      </c>
      <c r="D586" s="23">
        <v>137.44999999999999</v>
      </c>
      <c r="E586" s="22"/>
    </row>
    <row r="587" spans="1:5" ht="15" customHeight="1" x14ac:dyDescent="0.35">
      <c r="A587" s="24" t="s">
        <v>5658</v>
      </c>
      <c r="B587" s="24" t="s">
        <v>4828</v>
      </c>
      <c r="C587" s="24" t="s">
        <v>4829</v>
      </c>
      <c r="D587" s="25">
        <v>860.49</v>
      </c>
      <c r="E587" s="24"/>
    </row>
    <row r="588" spans="1:5" ht="15" customHeight="1" x14ac:dyDescent="0.35">
      <c r="A588" s="22" t="s">
        <v>5658</v>
      </c>
      <c r="B588" s="22" t="s">
        <v>4832</v>
      </c>
      <c r="C588" s="22" t="s">
        <v>4833</v>
      </c>
      <c r="D588" s="23">
        <v>1257.22</v>
      </c>
      <c r="E588" s="22"/>
    </row>
    <row r="589" spans="1:5" ht="15" customHeight="1" x14ac:dyDescent="0.35">
      <c r="A589" s="24" t="s">
        <v>5658</v>
      </c>
      <c r="B589" s="24" t="s">
        <v>4836</v>
      </c>
      <c r="C589" s="24" t="s">
        <v>4837</v>
      </c>
      <c r="D589" s="25">
        <v>302.7</v>
      </c>
      <c r="E589" s="24"/>
    </row>
    <row r="590" spans="1:5" ht="15" customHeight="1" x14ac:dyDescent="0.35">
      <c r="A590" s="22" t="s">
        <v>5658</v>
      </c>
      <c r="B590" s="22" t="s">
        <v>4840</v>
      </c>
      <c r="C590" s="22" t="s">
        <v>4841</v>
      </c>
      <c r="D590" s="23">
        <v>314.45999999999998</v>
      </c>
      <c r="E590" s="22"/>
    </row>
    <row r="591" spans="1:5" ht="15" customHeight="1" x14ac:dyDescent="0.35">
      <c r="A591" s="24" t="s">
        <v>5658</v>
      </c>
      <c r="B591" s="24" t="s">
        <v>4844</v>
      </c>
      <c r="C591" s="24" t="s">
        <v>4845</v>
      </c>
      <c r="D591" s="25">
        <v>189.98</v>
      </c>
      <c r="E591" s="24"/>
    </row>
    <row r="592" spans="1:5" ht="15" customHeight="1" x14ac:dyDescent="0.35">
      <c r="A592" s="22" t="s">
        <v>5658</v>
      </c>
      <c r="B592" s="22" t="s">
        <v>4848</v>
      </c>
      <c r="C592" s="22" t="s">
        <v>4849</v>
      </c>
      <c r="D592" s="23">
        <v>145.13</v>
      </c>
      <c r="E592" s="22"/>
    </row>
    <row r="593" spans="1:5" ht="15" customHeight="1" x14ac:dyDescent="0.35">
      <c r="A593" s="24" t="s">
        <v>5658</v>
      </c>
      <c r="B593" s="24" t="s">
        <v>735</v>
      </c>
      <c r="C593" s="24" t="s">
        <v>4852</v>
      </c>
      <c r="D593" s="25">
        <v>152.38999999999999</v>
      </c>
      <c r="E593" s="24"/>
    </row>
    <row r="594" spans="1:5" ht="15" customHeight="1" x14ac:dyDescent="0.35">
      <c r="A594" s="22" t="s">
        <v>5658</v>
      </c>
      <c r="B594" s="22" t="s">
        <v>4855</v>
      </c>
      <c r="C594" s="22" t="s">
        <v>4856</v>
      </c>
      <c r="D594" s="23">
        <v>22.36</v>
      </c>
      <c r="E594" s="22"/>
    </row>
    <row r="595" spans="1:5" ht="15" customHeight="1" x14ac:dyDescent="0.35">
      <c r="A595" s="24" t="s">
        <v>5658</v>
      </c>
      <c r="B595" s="24" t="s">
        <v>731</v>
      </c>
      <c r="C595" s="24" t="s">
        <v>4859</v>
      </c>
      <c r="D595" s="25">
        <v>127.49</v>
      </c>
      <c r="E595" s="24"/>
    </row>
    <row r="596" spans="1:5" ht="15" customHeight="1" x14ac:dyDescent="0.35">
      <c r="A596" s="22" t="s">
        <v>5658</v>
      </c>
      <c r="B596" s="22" t="s">
        <v>4862</v>
      </c>
      <c r="C596" s="22" t="s">
        <v>4863</v>
      </c>
      <c r="D596" s="23">
        <v>2303.6999999999998</v>
      </c>
      <c r="E596" s="22"/>
    </row>
    <row r="597" spans="1:5" ht="15" customHeight="1" x14ac:dyDescent="0.35">
      <c r="A597" s="24" t="s">
        <v>5658</v>
      </c>
      <c r="B597" s="24" t="s">
        <v>4866</v>
      </c>
      <c r="C597" s="24" t="s">
        <v>4867</v>
      </c>
      <c r="D597" s="25">
        <v>161.26</v>
      </c>
      <c r="E597" s="24"/>
    </row>
    <row r="598" spans="1:5" ht="15" customHeight="1" x14ac:dyDescent="0.35">
      <c r="A598" s="22" t="s">
        <v>5658</v>
      </c>
      <c r="B598" s="22" t="s">
        <v>4870</v>
      </c>
      <c r="C598" s="22" t="s">
        <v>4871</v>
      </c>
      <c r="D598" s="23">
        <v>940.83</v>
      </c>
      <c r="E598" s="22"/>
    </row>
    <row r="599" spans="1:5" ht="15" customHeight="1" x14ac:dyDescent="0.35">
      <c r="A599" s="24" t="s">
        <v>5658</v>
      </c>
      <c r="B599" s="24" t="s">
        <v>4874</v>
      </c>
      <c r="C599" s="24" t="s">
        <v>4875</v>
      </c>
      <c r="D599" s="25">
        <v>65.02</v>
      </c>
      <c r="E599" s="24"/>
    </row>
    <row r="600" spans="1:5" ht="15" customHeight="1" x14ac:dyDescent="0.35">
      <c r="A600" s="22" t="s">
        <v>5658</v>
      </c>
      <c r="B600" s="22" t="s">
        <v>4878</v>
      </c>
      <c r="C600" s="22" t="s">
        <v>4879</v>
      </c>
      <c r="D600" s="23">
        <v>126.99</v>
      </c>
      <c r="E600" s="22"/>
    </row>
    <row r="601" spans="1:5" ht="15" customHeight="1" x14ac:dyDescent="0.35">
      <c r="A601" s="24" t="s">
        <v>5658</v>
      </c>
      <c r="B601" s="24" t="s">
        <v>4882</v>
      </c>
      <c r="C601" s="24" t="s">
        <v>4883</v>
      </c>
      <c r="D601" s="25">
        <v>29.46</v>
      </c>
      <c r="E601" s="24"/>
    </row>
    <row r="602" spans="1:5" ht="15" customHeight="1" x14ac:dyDescent="0.35">
      <c r="A602" s="22" t="s">
        <v>5658</v>
      </c>
      <c r="B602" s="22" t="s">
        <v>4886</v>
      </c>
      <c r="C602" s="22" t="s">
        <v>4887</v>
      </c>
      <c r="D602" s="23">
        <v>17.420000000000002</v>
      </c>
      <c r="E602" s="22"/>
    </row>
    <row r="603" spans="1:5" ht="15" customHeight="1" x14ac:dyDescent="0.35">
      <c r="A603" s="24" t="s">
        <v>5658</v>
      </c>
      <c r="B603" s="24" t="s">
        <v>4890</v>
      </c>
      <c r="C603" s="24" t="s">
        <v>4891</v>
      </c>
      <c r="D603" s="25">
        <v>29.46</v>
      </c>
      <c r="E603" s="24"/>
    </row>
    <row r="604" spans="1:5" ht="15" customHeight="1" x14ac:dyDescent="0.35">
      <c r="A604" s="22" t="s">
        <v>5658</v>
      </c>
      <c r="B604" s="22" t="s">
        <v>4894</v>
      </c>
      <c r="C604" s="22" t="s">
        <v>4895</v>
      </c>
      <c r="D604" s="23">
        <v>17.420000000000002</v>
      </c>
      <c r="E604" s="22"/>
    </row>
    <row r="605" spans="1:5" ht="15" customHeight="1" x14ac:dyDescent="0.35">
      <c r="A605" s="24" t="s">
        <v>5658</v>
      </c>
      <c r="B605" s="24" t="s">
        <v>4898</v>
      </c>
      <c r="C605" s="24" t="s">
        <v>4899</v>
      </c>
      <c r="D605" s="25">
        <v>17.420000000000002</v>
      </c>
      <c r="E605" s="24"/>
    </row>
    <row r="606" spans="1:5" ht="15" customHeight="1" x14ac:dyDescent="0.35">
      <c r="A606" s="22" t="s">
        <v>5658</v>
      </c>
      <c r="B606" s="22" t="s">
        <v>4902</v>
      </c>
      <c r="C606" s="22" t="s">
        <v>4903</v>
      </c>
      <c r="D606" s="23">
        <v>17.420000000000002</v>
      </c>
      <c r="E606" s="22"/>
    </row>
    <row r="607" spans="1:5" ht="15" customHeight="1" x14ac:dyDescent="0.35">
      <c r="A607" s="24" t="s">
        <v>5658</v>
      </c>
      <c r="B607" s="24" t="s">
        <v>5659</v>
      </c>
      <c r="C607" s="24" t="s">
        <v>5660</v>
      </c>
      <c r="D607" s="24"/>
      <c r="E607" s="24" t="s">
        <v>5477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2" style="6" customWidth="1"/>
    <col min="2" max="2" width="32" style="6" customWidth="1"/>
    <col min="3" max="3" width="18" style="6" customWidth="1"/>
    <col min="4" max="4" width="16" style="6" customWidth="1"/>
    <col min="5" max="5" width="18" style="6" customWidth="1"/>
    <col min="6" max="6" width="16" style="6" customWidth="1"/>
    <col min="7" max="7" width="12" style="6" customWidth="1"/>
    <col min="8" max="8" width="20" style="6" customWidth="1"/>
  </cols>
  <sheetData>
    <row r="1" spans="1:8" ht="30" customHeight="1" x14ac:dyDescent="0.35">
      <c r="A1" s="78" t="s">
        <v>5661</v>
      </c>
      <c r="B1" s="78"/>
      <c r="C1" s="78"/>
      <c r="D1" s="78"/>
      <c r="E1" s="78"/>
      <c r="F1" s="78"/>
      <c r="G1" s="78"/>
      <c r="H1" s="78"/>
    </row>
    <row r="2" spans="1:8" ht="15.75" customHeight="1" x14ac:dyDescent="0.35">
      <c r="A2" s="66" t="s">
        <v>5662</v>
      </c>
      <c r="B2" s="66"/>
      <c r="C2" s="66"/>
      <c r="D2" s="66"/>
      <c r="E2" s="66"/>
      <c r="F2" s="66"/>
      <c r="G2" s="66"/>
      <c r="H2" s="66"/>
    </row>
    <row r="3" spans="1:8" ht="15.75" customHeight="1" x14ac:dyDescent="0.35">
      <c r="A3" s="66" t="s">
        <v>5663</v>
      </c>
      <c r="B3" s="66"/>
      <c r="C3" s="66"/>
      <c r="D3" s="66"/>
      <c r="E3" s="66"/>
      <c r="F3" s="66"/>
      <c r="G3" s="66"/>
      <c r="H3" s="66"/>
    </row>
    <row r="4" spans="1:8" ht="30" customHeight="1" x14ac:dyDescent="0.35">
      <c r="A4" s="21" t="s">
        <v>5178</v>
      </c>
      <c r="B4" s="21" t="s">
        <v>5664</v>
      </c>
      <c r="C4" s="21" t="s">
        <v>5665</v>
      </c>
      <c r="D4" s="21" t="s">
        <v>5666</v>
      </c>
      <c r="E4" s="21" t="s">
        <v>5667</v>
      </c>
      <c r="F4" s="21" t="s">
        <v>5668</v>
      </c>
      <c r="G4" s="21" t="s">
        <v>5669</v>
      </c>
      <c r="H4" s="21" t="s">
        <v>5670</v>
      </c>
    </row>
    <row r="5" spans="1:8" ht="15" customHeight="1" x14ac:dyDescent="0.35">
      <c r="A5" s="26" t="s">
        <v>5671</v>
      </c>
      <c r="B5" s="26" t="s">
        <v>5672</v>
      </c>
      <c r="C5" s="26" t="s">
        <v>5673</v>
      </c>
      <c r="D5" s="27">
        <v>100</v>
      </c>
      <c r="E5" s="27">
        <f t="shared" ref="E5:E16" si="0">D5*0.12</f>
        <v>12</v>
      </c>
      <c r="F5" s="27">
        <f t="shared" ref="F5:F16" si="1">D5*0.01</f>
        <v>1</v>
      </c>
      <c r="G5" s="27">
        <f t="shared" ref="G5:G16" si="2">(D5+E5+F5)*0.1</f>
        <v>11.3</v>
      </c>
      <c r="H5" s="28">
        <f t="shared" ref="H5:H16" si="3">D5+E5+F5+G5</f>
        <v>124.3</v>
      </c>
    </row>
    <row r="6" spans="1:8" ht="15" customHeight="1" x14ac:dyDescent="0.35">
      <c r="A6" s="29" t="s">
        <v>5671</v>
      </c>
      <c r="B6" s="29" t="s">
        <v>5672</v>
      </c>
      <c r="C6" s="29" t="s">
        <v>5674</v>
      </c>
      <c r="D6" s="30">
        <v>120</v>
      </c>
      <c r="E6" s="30">
        <f t="shared" si="0"/>
        <v>14.399999999999999</v>
      </c>
      <c r="F6" s="30">
        <f t="shared" si="1"/>
        <v>1.2</v>
      </c>
      <c r="G6" s="30">
        <f t="shared" si="2"/>
        <v>13.56</v>
      </c>
      <c r="H6" s="31">
        <f t="shared" si="3"/>
        <v>149.16</v>
      </c>
    </row>
    <row r="7" spans="1:8" ht="15" customHeight="1" x14ac:dyDescent="0.35">
      <c r="A7" s="26" t="s">
        <v>5671</v>
      </c>
      <c r="B7" s="26" t="s">
        <v>5675</v>
      </c>
      <c r="C7" s="26" t="s">
        <v>5673</v>
      </c>
      <c r="D7" s="27">
        <v>130</v>
      </c>
      <c r="E7" s="27">
        <f t="shared" si="0"/>
        <v>15.6</v>
      </c>
      <c r="F7" s="27">
        <f t="shared" si="1"/>
        <v>1.3</v>
      </c>
      <c r="G7" s="27">
        <f t="shared" si="2"/>
        <v>14.690000000000001</v>
      </c>
      <c r="H7" s="28">
        <f t="shared" si="3"/>
        <v>161.59</v>
      </c>
    </row>
    <row r="8" spans="1:8" ht="15" customHeight="1" x14ac:dyDescent="0.35">
      <c r="A8" s="29" t="s">
        <v>5671</v>
      </c>
      <c r="B8" s="29" t="s">
        <v>5675</v>
      </c>
      <c r="C8" s="29" t="s">
        <v>5674</v>
      </c>
      <c r="D8" s="30">
        <v>240</v>
      </c>
      <c r="E8" s="30">
        <f t="shared" si="0"/>
        <v>28.799999999999997</v>
      </c>
      <c r="F8" s="30">
        <f t="shared" si="1"/>
        <v>2.4</v>
      </c>
      <c r="G8" s="30">
        <f t="shared" si="2"/>
        <v>27.12</v>
      </c>
      <c r="H8" s="31">
        <f t="shared" si="3"/>
        <v>298.32</v>
      </c>
    </row>
    <row r="9" spans="1:8" ht="15" customHeight="1" x14ac:dyDescent="0.35">
      <c r="A9" s="26" t="s">
        <v>5671</v>
      </c>
      <c r="B9" s="26" t="s">
        <v>5676</v>
      </c>
      <c r="C9" s="26" t="s">
        <v>5673</v>
      </c>
      <c r="D9" s="27">
        <v>140</v>
      </c>
      <c r="E9" s="27">
        <f t="shared" si="0"/>
        <v>16.8</v>
      </c>
      <c r="F9" s="27">
        <f t="shared" si="1"/>
        <v>1.4000000000000001</v>
      </c>
      <c r="G9" s="27">
        <f t="shared" si="2"/>
        <v>15.820000000000002</v>
      </c>
      <c r="H9" s="28">
        <f t="shared" si="3"/>
        <v>174.02</v>
      </c>
    </row>
    <row r="10" spans="1:8" ht="15" customHeight="1" x14ac:dyDescent="0.35">
      <c r="A10" s="29" t="s">
        <v>5671</v>
      </c>
      <c r="B10" s="29" t="s">
        <v>5676</v>
      </c>
      <c r="C10" s="29" t="s">
        <v>5674</v>
      </c>
      <c r="D10" s="30">
        <v>280</v>
      </c>
      <c r="E10" s="30">
        <f t="shared" si="0"/>
        <v>33.6</v>
      </c>
      <c r="F10" s="30">
        <f t="shared" si="1"/>
        <v>2.8000000000000003</v>
      </c>
      <c r="G10" s="30">
        <f t="shared" si="2"/>
        <v>31.640000000000004</v>
      </c>
      <c r="H10" s="31">
        <f t="shared" si="3"/>
        <v>348.04</v>
      </c>
    </row>
    <row r="11" spans="1:8" ht="15" customHeight="1" x14ac:dyDescent="0.35">
      <c r="A11" s="26" t="s">
        <v>5671</v>
      </c>
      <c r="B11" s="26" t="s">
        <v>5677</v>
      </c>
      <c r="C11" s="26" t="s">
        <v>5673</v>
      </c>
      <c r="D11" s="27">
        <v>250</v>
      </c>
      <c r="E11" s="27">
        <f t="shared" si="0"/>
        <v>30</v>
      </c>
      <c r="F11" s="27">
        <f t="shared" si="1"/>
        <v>2.5</v>
      </c>
      <c r="G11" s="27">
        <f t="shared" si="2"/>
        <v>28.25</v>
      </c>
      <c r="H11" s="28">
        <f t="shared" si="3"/>
        <v>310.75</v>
      </c>
    </row>
    <row r="12" spans="1:8" ht="15" customHeight="1" x14ac:dyDescent="0.35">
      <c r="A12" s="29" t="s">
        <v>5671</v>
      </c>
      <c r="B12" s="29" t="s">
        <v>5677</v>
      </c>
      <c r="C12" s="29" t="s">
        <v>5674</v>
      </c>
      <c r="D12" s="30">
        <v>500</v>
      </c>
      <c r="E12" s="30">
        <f t="shared" si="0"/>
        <v>60</v>
      </c>
      <c r="F12" s="30">
        <f t="shared" si="1"/>
        <v>5</v>
      </c>
      <c r="G12" s="30">
        <f t="shared" si="2"/>
        <v>56.5</v>
      </c>
      <c r="H12" s="31">
        <f t="shared" si="3"/>
        <v>621.5</v>
      </c>
    </row>
    <row r="13" spans="1:8" ht="15" customHeight="1" x14ac:dyDescent="0.35">
      <c r="A13" s="26" t="s">
        <v>5678</v>
      </c>
      <c r="B13" s="26" t="s">
        <v>5679</v>
      </c>
      <c r="C13" s="26" t="s">
        <v>5673</v>
      </c>
      <c r="D13" s="27">
        <v>200</v>
      </c>
      <c r="E13" s="27">
        <f t="shared" si="0"/>
        <v>24</v>
      </c>
      <c r="F13" s="27">
        <f t="shared" si="1"/>
        <v>2</v>
      </c>
      <c r="G13" s="27">
        <f t="shared" si="2"/>
        <v>22.6</v>
      </c>
      <c r="H13" s="28">
        <f t="shared" si="3"/>
        <v>248.6</v>
      </c>
    </row>
    <row r="14" spans="1:8" ht="15" customHeight="1" x14ac:dyDescent="0.35">
      <c r="A14" s="29" t="s">
        <v>5678</v>
      </c>
      <c r="B14" s="29" t="s">
        <v>5679</v>
      </c>
      <c r="C14" s="29" t="s">
        <v>5674</v>
      </c>
      <c r="D14" s="30">
        <v>600</v>
      </c>
      <c r="E14" s="30">
        <f t="shared" si="0"/>
        <v>72</v>
      </c>
      <c r="F14" s="30">
        <f t="shared" si="1"/>
        <v>6</v>
      </c>
      <c r="G14" s="30">
        <f t="shared" si="2"/>
        <v>67.8</v>
      </c>
      <c r="H14" s="31">
        <f t="shared" si="3"/>
        <v>745.8</v>
      </c>
    </row>
    <row r="15" spans="1:8" ht="15" customHeight="1" x14ac:dyDescent="0.35">
      <c r="A15" s="26" t="s">
        <v>5678</v>
      </c>
      <c r="B15" s="26" t="s">
        <v>5680</v>
      </c>
      <c r="C15" s="26" t="s">
        <v>5673</v>
      </c>
      <c r="D15" s="27">
        <v>250</v>
      </c>
      <c r="E15" s="27">
        <f t="shared" si="0"/>
        <v>30</v>
      </c>
      <c r="F15" s="27">
        <f t="shared" si="1"/>
        <v>2.5</v>
      </c>
      <c r="G15" s="27">
        <f t="shared" si="2"/>
        <v>28.25</v>
      </c>
      <c r="H15" s="28">
        <f t="shared" si="3"/>
        <v>310.75</v>
      </c>
    </row>
    <row r="16" spans="1:8" ht="15" customHeight="1" x14ac:dyDescent="0.35">
      <c r="A16" s="29" t="s">
        <v>5678</v>
      </c>
      <c r="B16" s="29" t="s">
        <v>5680</v>
      </c>
      <c r="C16" s="29" t="s">
        <v>5674</v>
      </c>
      <c r="D16" s="30">
        <v>750</v>
      </c>
      <c r="E16" s="30">
        <f t="shared" si="0"/>
        <v>90</v>
      </c>
      <c r="F16" s="30">
        <f t="shared" si="1"/>
        <v>7.5</v>
      </c>
      <c r="G16" s="30">
        <f t="shared" si="2"/>
        <v>84.75</v>
      </c>
      <c r="H16" s="31">
        <f t="shared" si="3"/>
        <v>932.25</v>
      </c>
    </row>
    <row r="18" spans="1:8" ht="21.75" customHeight="1" x14ac:dyDescent="0.35">
      <c r="A18" s="79" t="s">
        <v>5681</v>
      </c>
      <c r="B18" s="79"/>
      <c r="C18" s="79"/>
      <c r="D18" s="79"/>
      <c r="E18" s="79"/>
      <c r="F18" s="79"/>
      <c r="G18" s="79"/>
      <c r="H18" s="79"/>
    </row>
    <row r="19" spans="1:8" ht="27.75" customHeight="1" x14ac:dyDescent="0.35">
      <c r="A19" s="21" t="s">
        <v>5178</v>
      </c>
      <c r="B19" s="21" t="s">
        <v>5664</v>
      </c>
      <c r="C19" s="21" t="s">
        <v>5682</v>
      </c>
      <c r="D19" s="21" t="s">
        <v>5683</v>
      </c>
      <c r="E19" s="21" t="s">
        <v>5684</v>
      </c>
      <c r="F19" s="21" t="s">
        <v>5683</v>
      </c>
    </row>
    <row r="20" spans="1:8" ht="15" customHeight="1" x14ac:dyDescent="0.35">
      <c r="A20" s="26" t="s">
        <v>5671</v>
      </c>
      <c r="B20" s="26" t="s">
        <v>5672</v>
      </c>
      <c r="C20" s="26" t="s">
        <v>5685</v>
      </c>
      <c r="D20" s="27">
        <v>165</v>
      </c>
      <c r="E20" s="26" t="s">
        <v>5686</v>
      </c>
      <c r="F20" s="27">
        <v>165</v>
      </c>
      <c r="G20" s="32"/>
      <c r="H20" s="32"/>
    </row>
    <row r="21" spans="1:8" ht="15" customHeight="1" x14ac:dyDescent="0.35">
      <c r="A21" s="29" t="s">
        <v>5671</v>
      </c>
      <c r="B21" s="29" t="s">
        <v>5675</v>
      </c>
      <c r="C21" s="29" t="s">
        <v>5685</v>
      </c>
      <c r="D21" s="30">
        <v>165</v>
      </c>
      <c r="E21" s="29" t="s">
        <v>5686</v>
      </c>
      <c r="F21" s="30">
        <v>165</v>
      </c>
      <c r="G21" s="33"/>
      <c r="H21" s="33"/>
    </row>
    <row r="22" spans="1:8" ht="15" customHeight="1" x14ac:dyDescent="0.35">
      <c r="A22" s="26" t="s">
        <v>5671</v>
      </c>
      <c r="B22" s="26" t="s">
        <v>5676</v>
      </c>
      <c r="C22" s="26" t="s">
        <v>5685</v>
      </c>
      <c r="D22" s="27">
        <v>165</v>
      </c>
      <c r="E22" s="26" t="s">
        <v>5686</v>
      </c>
      <c r="F22" s="27">
        <v>165</v>
      </c>
      <c r="G22" s="32"/>
      <c r="H22" s="32"/>
    </row>
    <row r="23" spans="1:8" ht="15" customHeight="1" x14ac:dyDescent="0.35">
      <c r="A23" s="29" t="s">
        <v>5671</v>
      </c>
      <c r="B23" s="29" t="s">
        <v>5677</v>
      </c>
      <c r="C23" s="29" t="s">
        <v>5685</v>
      </c>
      <c r="D23" s="30">
        <v>200</v>
      </c>
      <c r="E23" s="29" t="s">
        <v>5686</v>
      </c>
      <c r="F23" s="30">
        <v>200</v>
      </c>
      <c r="G23" s="33"/>
      <c r="H23" s="33"/>
    </row>
    <row r="24" spans="1:8" ht="15" customHeight="1" x14ac:dyDescent="0.35">
      <c r="A24" s="26" t="s">
        <v>5678</v>
      </c>
      <c r="B24" s="26" t="s">
        <v>5679</v>
      </c>
      <c r="C24" s="26" t="s">
        <v>5685</v>
      </c>
      <c r="D24" s="27">
        <v>221</v>
      </c>
      <c r="E24" s="26" t="s">
        <v>5686</v>
      </c>
      <c r="F24" s="27">
        <v>221</v>
      </c>
      <c r="G24" s="32"/>
      <c r="H24" s="32"/>
    </row>
    <row r="25" spans="1:8" ht="15" customHeight="1" x14ac:dyDescent="0.35">
      <c r="A25" s="29" t="s">
        <v>5678</v>
      </c>
      <c r="B25" s="29" t="s">
        <v>5680</v>
      </c>
      <c r="C25" s="29" t="s">
        <v>5685</v>
      </c>
      <c r="D25" s="30">
        <v>240</v>
      </c>
      <c r="E25" s="29" t="s">
        <v>5686</v>
      </c>
      <c r="F25" s="30">
        <v>240</v>
      </c>
      <c r="G25" s="33"/>
      <c r="H25" s="33"/>
    </row>
  </sheetData>
  <mergeCells count="4">
    <mergeCell ref="A1:H1"/>
    <mergeCell ref="A2:H2"/>
    <mergeCell ref="A3:H3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Estimation</vt:lpstr>
      <vt:lpstr>Catalog</vt:lpstr>
      <vt:lpstr>Pertronic</vt:lpstr>
      <vt:lpstr>Fusion Fire</vt:lpstr>
      <vt:lpstr>FlameStop</vt:lpstr>
      <vt:lpstr>Ampac</vt:lpstr>
      <vt:lpstr>Want Access — EWP</vt:lpstr>
      <vt:lpstr>FireSense</vt:lpstr>
      <vt:lpstr>ESA — EWP</vt:lpstr>
      <vt:lpstr>CatalogCode</vt:lpstr>
      <vt:lpstr>CatalogCost</vt:lpstr>
      <vt:lpstr>CatalogDesc</vt:lpstr>
      <vt:lpstr>CatalogDisplay</vt:lpstr>
      <vt:lpstr>CatalogSearchKey</vt:lpstr>
      <vt:lpstr>CatalogSupp</vt:lpstr>
      <vt:lpstr>ProductList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Casper Tavitian</cp:lastModifiedBy>
  <cp:revision>0</cp:revision>
  <dcterms:created xsi:type="dcterms:W3CDTF">2026-04-10T01:33:17Z</dcterms:created>
  <dcterms:modified xsi:type="dcterms:W3CDTF">2026-05-14T03:04:38Z</dcterms:modified>
  <dc:language>en-US</dc:language>
</cp:coreProperties>
</file>